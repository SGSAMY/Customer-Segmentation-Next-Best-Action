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&amp; Satheesh\Outbound-Calling-Conversion-Model\data\"/>
    </mc:Choice>
  </mc:AlternateContent>
  <xr:revisionPtr revIDLastSave="0" documentId="13_ncr:1_{AEC04AC7-B6AE-4723-9656-1415A925CA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_Data" sheetId="1" r:id="rId1"/>
    <sheet name="Segment_Lookup" sheetId="2" r:id="rId2"/>
    <sheet name="Model_Rules" sheetId="3" r:id="rId3"/>
    <sheet name="README" sheetId="4" r:id="rId4"/>
  </sheets>
  <calcPr calcId="181029"/>
</workbook>
</file>

<file path=xl/calcChain.xml><?xml version="1.0" encoding="utf-8"?>
<calcChain xmlns="http://schemas.openxmlformats.org/spreadsheetml/2006/main">
  <c r="Q101" i="1" l="1"/>
  <c r="R101" i="1" s="1"/>
  <c r="S101" i="1" s="1"/>
  <c r="T101" i="1" s="1"/>
  <c r="Q100" i="1"/>
  <c r="R100" i="1" s="1"/>
  <c r="S100" i="1" s="1"/>
  <c r="T100" i="1" s="1"/>
  <c r="Q99" i="1"/>
  <c r="R99" i="1" s="1"/>
  <c r="S99" i="1" s="1"/>
  <c r="T99" i="1" s="1"/>
  <c r="Q98" i="1"/>
  <c r="R98" i="1" s="1"/>
  <c r="S98" i="1" s="1"/>
  <c r="T98" i="1" s="1"/>
  <c r="Q97" i="1"/>
  <c r="R97" i="1" s="1"/>
  <c r="S97" i="1" s="1"/>
  <c r="T97" i="1" s="1"/>
  <c r="Q96" i="1"/>
  <c r="R96" i="1" s="1"/>
  <c r="S96" i="1" s="1"/>
  <c r="T96" i="1" s="1"/>
  <c r="Q95" i="1"/>
  <c r="R95" i="1" s="1"/>
  <c r="S95" i="1" s="1"/>
  <c r="T95" i="1" s="1"/>
  <c r="Q94" i="1"/>
  <c r="R94" i="1" s="1"/>
  <c r="S94" i="1" s="1"/>
  <c r="T94" i="1" s="1"/>
  <c r="Q93" i="1"/>
  <c r="R93" i="1" s="1"/>
  <c r="S93" i="1" s="1"/>
  <c r="T93" i="1" s="1"/>
  <c r="Q92" i="1"/>
  <c r="R92" i="1" s="1"/>
  <c r="S92" i="1" s="1"/>
  <c r="T92" i="1" s="1"/>
  <c r="Q91" i="1"/>
  <c r="R91" i="1" s="1"/>
  <c r="S91" i="1" s="1"/>
  <c r="T91" i="1" s="1"/>
  <c r="Q90" i="1"/>
  <c r="R90" i="1" s="1"/>
  <c r="S90" i="1" s="1"/>
  <c r="T90" i="1" s="1"/>
  <c r="Q89" i="1"/>
  <c r="R89" i="1" s="1"/>
  <c r="S89" i="1" s="1"/>
  <c r="T89" i="1" s="1"/>
  <c r="Q88" i="1"/>
  <c r="R88" i="1" s="1"/>
  <c r="S88" i="1" s="1"/>
  <c r="T88" i="1" s="1"/>
  <c r="Q87" i="1"/>
  <c r="R87" i="1" s="1"/>
  <c r="S87" i="1" s="1"/>
  <c r="T87" i="1" s="1"/>
  <c r="Q86" i="1"/>
  <c r="R86" i="1" s="1"/>
  <c r="S86" i="1" s="1"/>
  <c r="T86" i="1" s="1"/>
  <c r="Q85" i="1"/>
  <c r="R85" i="1" s="1"/>
  <c r="S85" i="1" s="1"/>
  <c r="T85" i="1" s="1"/>
  <c r="Q84" i="1"/>
  <c r="R84" i="1" s="1"/>
  <c r="S84" i="1" s="1"/>
  <c r="T84" i="1" s="1"/>
  <c r="Q83" i="1"/>
  <c r="R83" i="1" s="1"/>
  <c r="S83" i="1" s="1"/>
  <c r="T83" i="1" s="1"/>
  <c r="Q82" i="1"/>
  <c r="R82" i="1" s="1"/>
  <c r="S82" i="1" s="1"/>
  <c r="T82" i="1" s="1"/>
  <c r="Q81" i="1"/>
  <c r="R81" i="1" s="1"/>
  <c r="S81" i="1" s="1"/>
  <c r="T81" i="1" s="1"/>
  <c r="Q80" i="1"/>
  <c r="R80" i="1" s="1"/>
  <c r="S80" i="1" s="1"/>
  <c r="T80" i="1" s="1"/>
  <c r="Q79" i="1"/>
  <c r="R79" i="1" s="1"/>
  <c r="S79" i="1" s="1"/>
  <c r="T79" i="1" s="1"/>
  <c r="Q78" i="1"/>
  <c r="R78" i="1" s="1"/>
  <c r="S78" i="1" s="1"/>
  <c r="T78" i="1" s="1"/>
  <c r="Q77" i="1"/>
  <c r="R77" i="1" s="1"/>
  <c r="S77" i="1" s="1"/>
  <c r="T77" i="1" s="1"/>
  <c r="Q76" i="1"/>
  <c r="R76" i="1" s="1"/>
  <c r="S76" i="1" s="1"/>
  <c r="T76" i="1" s="1"/>
  <c r="Q75" i="1"/>
  <c r="R75" i="1" s="1"/>
  <c r="S75" i="1" s="1"/>
  <c r="T75" i="1" s="1"/>
  <c r="Q74" i="1"/>
  <c r="R74" i="1" s="1"/>
  <c r="S74" i="1" s="1"/>
  <c r="T74" i="1" s="1"/>
  <c r="Q73" i="1"/>
  <c r="R73" i="1" s="1"/>
  <c r="S73" i="1" s="1"/>
  <c r="T73" i="1" s="1"/>
  <c r="Q72" i="1"/>
  <c r="R72" i="1" s="1"/>
  <c r="S72" i="1" s="1"/>
  <c r="T72" i="1" s="1"/>
  <c r="Q71" i="1"/>
  <c r="R71" i="1" s="1"/>
  <c r="S71" i="1" s="1"/>
  <c r="T71" i="1" s="1"/>
  <c r="Q70" i="1"/>
  <c r="R70" i="1" s="1"/>
  <c r="S70" i="1" s="1"/>
  <c r="T70" i="1" s="1"/>
  <c r="Q69" i="1"/>
  <c r="R69" i="1" s="1"/>
  <c r="S69" i="1" s="1"/>
  <c r="T69" i="1" s="1"/>
  <c r="Q68" i="1"/>
  <c r="R68" i="1" s="1"/>
  <c r="S68" i="1" s="1"/>
  <c r="T68" i="1" s="1"/>
  <c r="Q67" i="1"/>
  <c r="R67" i="1" s="1"/>
  <c r="S67" i="1" s="1"/>
  <c r="T67" i="1" s="1"/>
  <c r="Q66" i="1"/>
  <c r="R66" i="1" s="1"/>
  <c r="S66" i="1" s="1"/>
  <c r="T66" i="1" s="1"/>
  <c r="Q65" i="1"/>
  <c r="R65" i="1" s="1"/>
  <c r="S65" i="1" s="1"/>
  <c r="T65" i="1" s="1"/>
  <c r="Q64" i="1"/>
  <c r="R64" i="1" s="1"/>
  <c r="S64" i="1" s="1"/>
  <c r="T64" i="1" s="1"/>
  <c r="Q63" i="1"/>
  <c r="R63" i="1" s="1"/>
  <c r="S63" i="1" s="1"/>
  <c r="T63" i="1" s="1"/>
  <c r="Q62" i="1"/>
  <c r="R62" i="1" s="1"/>
  <c r="S62" i="1" s="1"/>
  <c r="T62" i="1" s="1"/>
  <c r="Q61" i="1"/>
  <c r="R61" i="1" s="1"/>
  <c r="S61" i="1" s="1"/>
  <c r="T61" i="1" s="1"/>
  <c r="Q60" i="1"/>
  <c r="R60" i="1" s="1"/>
  <c r="S60" i="1" s="1"/>
  <c r="T60" i="1" s="1"/>
  <c r="Q59" i="1"/>
  <c r="R59" i="1" s="1"/>
  <c r="S59" i="1" s="1"/>
  <c r="T59" i="1" s="1"/>
  <c r="Q58" i="1"/>
  <c r="R58" i="1" s="1"/>
  <c r="S58" i="1" s="1"/>
  <c r="T58" i="1" s="1"/>
  <c r="Q57" i="1"/>
  <c r="R57" i="1" s="1"/>
  <c r="S57" i="1" s="1"/>
  <c r="T57" i="1" s="1"/>
  <c r="Q56" i="1"/>
  <c r="R56" i="1" s="1"/>
  <c r="S56" i="1" s="1"/>
  <c r="T56" i="1" s="1"/>
  <c r="Q55" i="1"/>
  <c r="R55" i="1" s="1"/>
  <c r="S55" i="1" s="1"/>
  <c r="T55" i="1" s="1"/>
  <c r="Q54" i="1"/>
  <c r="R54" i="1" s="1"/>
  <c r="S54" i="1" s="1"/>
  <c r="T54" i="1" s="1"/>
  <c r="Q53" i="1"/>
  <c r="R53" i="1" s="1"/>
  <c r="S53" i="1" s="1"/>
  <c r="T53" i="1" s="1"/>
  <c r="Q52" i="1"/>
  <c r="R52" i="1" s="1"/>
  <c r="S52" i="1" s="1"/>
  <c r="T52" i="1" s="1"/>
  <c r="Q51" i="1"/>
  <c r="R51" i="1" s="1"/>
  <c r="S51" i="1" s="1"/>
  <c r="T51" i="1" s="1"/>
  <c r="Q50" i="1"/>
  <c r="R50" i="1" s="1"/>
  <c r="S50" i="1" s="1"/>
  <c r="T50" i="1" s="1"/>
  <c r="Q49" i="1"/>
  <c r="R49" i="1" s="1"/>
  <c r="S49" i="1" s="1"/>
  <c r="T49" i="1" s="1"/>
  <c r="Q48" i="1"/>
  <c r="R48" i="1" s="1"/>
  <c r="S48" i="1" s="1"/>
  <c r="T48" i="1" s="1"/>
  <c r="Q47" i="1"/>
  <c r="R47" i="1" s="1"/>
  <c r="S47" i="1" s="1"/>
  <c r="T47" i="1" s="1"/>
  <c r="Q46" i="1"/>
  <c r="R46" i="1" s="1"/>
  <c r="S46" i="1" s="1"/>
  <c r="T46" i="1" s="1"/>
  <c r="Q45" i="1"/>
  <c r="R45" i="1" s="1"/>
  <c r="S45" i="1" s="1"/>
  <c r="T45" i="1" s="1"/>
  <c r="Q44" i="1"/>
  <c r="R44" i="1" s="1"/>
  <c r="S44" i="1" s="1"/>
  <c r="T44" i="1" s="1"/>
  <c r="Q43" i="1"/>
  <c r="R43" i="1" s="1"/>
  <c r="S43" i="1" s="1"/>
  <c r="T43" i="1" s="1"/>
  <c r="Q42" i="1"/>
  <c r="R42" i="1" s="1"/>
  <c r="S42" i="1" s="1"/>
  <c r="T42" i="1" s="1"/>
  <c r="Q41" i="1"/>
  <c r="R41" i="1" s="1"/>
  <c r="S41" i="1" s="1"/>
  <c r="T41" i="1" s="1"/>
  <c r="Q40" i="1"/>
  <c r="R40" i="1" s="1"/>
  <c r="S40" i="1" s="1"/>
  <c r="T40" i="1" s="1"/>
  <c r="Q39" i="1"/>
  <c r="R39" i="1" s="1"/>
  <c r="S39" i="1" s="1"/>
  <c r="T39" i="1" s="1"/>
  <c r="Q38" i="1"/>
  <c r="R38" i="1" s="1"/>
  <c r="S38" i="1" s="1"/>
  <c r="T38" i="1" s="1"/>
  <c r="Q37" i="1"/>
  <c r="R37" i="1" s="1"/>
  <c r="S37" i="1" s="1"/>
  <c r="T37" i="1" s="1"/>
  <c r="Q36" i="1"/>
  <c r="R36" i="1" s="1"/>
  <c r="S36" i="1" s="1"/>
  <c r="T36" i="1" s="1"/>
  <c r="Q35" i="1"/>
  <c r="R35" i="1" s="1"/>
  <c r="S35" i="1" s="1"/>
  <c r="T35" i="1" s="1"/>
  <c r="Q34" i="1"/>
  <c r="R34" i="1" s="1"/>
  <c r="S34" i="1" s="1"/>
  <c r="T34" i="1" s="1"/>
  <c r="Q33" i="1"/>
  <c r="R33" i="1" s="1"/>
  <c r="S33" i="1" s="1"/>
  <c r="T33" i="1" s="1"/>
  <c r="Q32" i="1"/>
  <c r="R32" i="1" s="1"/>
  <c r="S32" i="1" s="1"/>
  <c r="T32" i="1" s="1"/>
  <c r="Q31" i="1"/>
  <c r="R31" i="1" s="1"/>
  <c r="S31" i="1" s="1"/>
  <c r="T31" i="1" s="1"/>
  <c r="Q30" i="1"/>
  <c r="R30" i="1" s="1"/>
  <c r="S30" i="1" s="1"/>
  <c r="T30" i="1" s="1"/>
  <c r="Q29" i="1"/>
  <c r="R29" i="1" s="1"/>
  <c r="S29" i="1" s="1"/>
  <c r="T29" i="1" s="1"/>
  <c r="Q28" i="1"/>
  <c r="R28" i="1" s="1"/>
  <c r="S28" i="1" s="1"/>
  <c r="T28" i="1" s="1"/>
  <c r="Q27" i="1"/>
  <c r="R27" i="1" s="1"/>
  <c r="S27" i="1" s="1"/>
  <c r="T27" i="1" s="1"/>
  <c r="Q26" i="1"/>
  <c r="R26" i="1" s="1"/>
  <c r="S26" i="1" s="1"/>
  <c r="T26" i="1" s="1"/>
  <c r="Q25" i="1"/>
  <c r="R25" i="1" s="1"/>
  <c r="S25" i="1" s="1"/>
  <c r="T25" i="1" s="1"/>
  <c r="Q24" i="1"/>
  <c r="R24" i="1" s="1"/>
  <c r="S24" i="1" s="1"/>
  <c r="T24" i="1" s="1"/>
  <c r="Q23" i="1"/>
  <c r="R23" i="1" s="1"/>
  <c r="S23" i="1" s="1"/>
  <c r="T23" i="1" s="1"/>
  <c r="Q22" i="1"/>
  <c r="R22" i="1" s="1"/>
  <c r="S22" i="1" s="1"/>
  <c r="T22" i="1" s="1"/>
  <c r="Q21" i="1"/>
  <c r="R21" i="1" s="1"/>
  <c r="S21" i="1" s="1"/>
  <c r="T21" i="1" s="1"/>
  <c r="Q20" i="1"/>
  <c r="R20" i="1" s="1"/>
  <c r="S20" i="1" s="1"/>
  <c r="T20" i="1" s="1"/>
  <c r="Q19" i="1"/>
  <c r="R19" i="1" s="1"/>
  <c r="S19" i="1" s="1"/>
  <c r="T19" i="1" s="1"/>
  <c r="Q18" i="1"/>
  <c r="R18" i="1" s="1"/>
  <c r="S18" i="1" s="1"/>
  <c r="T18" i="1" s="1"/>
  <c r="Q17" i="1"/>
  <c r="R17" i="1" s="1"/>
  <c r="S17" i="1" s="1"/>
  <c r="T17" i="1" s="1"/>
  <c r="Q16" i="1"/>
  <c r="R16" i="1" s="1"/>
  <c r="S16" i="1" s="1"/>
  <c r="T16" i="1" s="1"/>
  <c r="Q15" i="1"/>
  <c r="R15" i="1" s="1"/>
  <c r="S15" i="1" s="1"/>
  <c r="T15" i="1" s="1"/>
  <c r="R14" i="1"/>
  <c r="S14" i="1" s="1"/>
  <c r="T14" i="1" s="1"/>
  <c r="Q14" i="1"/>
  <c r="Q13" i="1"/>
  <c r="R13" i="1" s="1"/>
  <c r="S13" i="1" s="1"/>
  <c r="T13" i="1" s="1"/>
  <c r="R12" i="1"/>
  <c r="S12" i="1" s="1"/>
  <c r="T12" i="1" s="1"/>
  <c r="Q12" i="1"/>
  <c r="Q11" i="1"/>
  <c r="R11" i="1" s="1"/>
  <c r="S11" i="1" s="1"/>
  <c r="T11" i="1" s="1"/>
  <c r="R10" i="1"/>
  <c r="S10" i="1" s="1"/>
  <c r="T10" i="1" s="1"/>
  <c r="Q10" i="1"/>
  <c r="Q9" i="1"/>
  <c r="R9" i="1" s="1"/>
  <c r="S9" i="1" s="1"/>
  <c r="T9" i="1" s="1"/>
  <c r="R8" i="1"/>
  <c r="S8" i="1" s="1"/>
  <c r="T8" i="1" s="1"/>
  <c r="Q8" i="1"/>
  <c r="Q7" i="1"/>
  <c r="R7" i="1" s="1"/>
  <c r="S7" i="1" s="1"/>
  <c r="T7" i="1" s="1"/>
  <c r="R6" i="1"/>
  <c r="S6" i="1" s="1"/>
  <c r="T6" i="1" s="1"/>
  <c r="Q6" i="1"/>
  <c r="Q5" i="1"/>
  <c r="R5" i="1" s="1"/>
  <c r="S5" i="1" s="1"/>
  <c r="T5" i="1" s="1"/>
  <c r="R4" i="1"/>
  <c r="S4" i="1" s="1"/>
  <c r="T4" i="1" s="1"/>
  <c r="Q4" i="1"/>
  <c r="Q3" i="1"/>
  <c r="R3" i="1" s="1"/>
  <c r="S3" i="1" s="1"/>
  <c r="T3" i="1" s="1"/>
  <c r="R2" i="1"/>
  <c r="S2" i="1" s="1"/>
  <c r="T2" i="1" s="1"/>
  <c r="Q2" i="1"/>
</calcChain>
</file>

<file path=xl/sharedStrings.xml><?xml version="1.0" encoding="utf-8"?>
<sst xmlns="http://schemas.openxmlformats.org/spreadsheetml/2006/main" count="1008" uniqueCount="200">
  <si>
    <t>customer_id</t>
  </si>
  <si>
    <t>customer_name</t>
  </si>
  <si>
    <t>product_type</t>
  </si>
  <si>
    <t>fresco_segment</t>
  </si>
  <si>
    <t>age_band</t>
  </si>
  <si>
    <t>region</t>
  </si>
  <si>
    <t>days_to_maturity</t>
  </si>
  <si>
    <t>active_dd</t>
  </si>
  <si>
    <t>failed_dd</t>
  </si>
  <si>
    <t>account_value</t>
  </si>
  <si>
    <t>online_login_days</t>
  </si>
  <si>
    <t>previous_campaign_response</t>
  </si>
  <si>
    <t>email_open_rate</t>
  </si>
  <si>
    <t>web_visits_30d</t>
  </si>
  <si>
    <t>has_adviser</t>
  </si>
  <si>
    <t>segment_weight</t>
  </si>
  <si>
    <t>conversion_score</t>
  </si>
  <si>
    <t>priority</t>
  </si>
  <si>
    <t>next_best_action</t>
  </si>
  <si>
    <t>Mia Wilson</t>
  </si>
  <si>
    <t>ISA</t>
  </si>
  <si>
    <t>Retired Security Seekers</t>
  </si>
  <si>
    <t>18-24</t>
  </si>
  <si>
    <t>South West</t>
  </si>
  <si>
    <t>No</t>
  </si>
  <si>
    <t>Yes</t>
  </si>
  <si>
    <t>Mia Thompson</t>
  </si>
  <si>
    <t>Cautious Savers</t>
  </si>
  <si>
    <t>65+</t>
  </si>
  <si>
    <t>East of England</t>
  </si>
  <si>
    <t>Grace Evans</t>
  </si>
  <si>
    <t>CTF</t>
  </si>
  <si>
    <t>Digital Natives</t>
  </si>
  <si>
    <t>South East</t>
  </si>
  <si>
    <t>Sophia Jones</t>
  </si>
  <si>
    <t>Budget Conscious</t>
  </si>
  <si>
    <t>North West</t>
  </si>
  <si>
    <t>Evie Wilson</t>
  </si>
  <si>
    <t>Rising Professionals</t>
  </si>
  <si>
    <t>55-64</t>
  </si>
  <si>
    <t>Oscar Jones</t>
  </si>
  <si>
    <t>Over 50</t>
  </si>
  <si>
    <t>Thomas Wright</t>
  </si>
  <si>
    <t>Jack Walker</t>
  </si>
  <si>
    <t>Comfortable Families</t>
  </si>
  <si>
    <t>45-54</t>
  </si>
  <si>
    <t>Freya Brown</t>
  </si>
  <si>
    <t>Wales</t>
  </si>
  <si>
    <t>Muhammad Roberts</t>
  </si>
  <si>
    <t>Noah White</t>
  </si>
  <si>
    <t>London</t>
  </si>
  <si>
    <t>Sophia Walker</t>
  </si>
  <si>
    <t>East Midlands</t>
  </si>
  <si>
    <t>Mia Jones</t>
  </si>
  <si>
    <t>Affluent Achievers</t>
  </si>
  <si>
    <t>George Williams</t>
  </si>
  <si>
    <t>JISA</t>
  </si>
  <si>
    <t>George Davies</t>
  </si>
  <si>
    <t>Yorkshire</t>
  </si>
  <si>
    <t>Noah Wilson</t>
  </si>
  <si>
    <t>Evie White</t>
  </si>
  <si>
    <t>35-44</t>
  </si>
  <si>
    <t>Charlie Jones</t>
  </si>
  <si>
    <t>Oscar Davies</t>
  </si>
  <si>
    <t>Evie Davies</t>
  </si>
  <si>
    <t>Evie Thomas</t>
  </si>
  <si>
    <t>Oscar Patel</t>
  </si>
  <si>
    <t>Mass Market Mainstream</t>
  </si>
  <si>
    <t>Amelia Jones</t>
  </si>
  <si>
    <t>Mia Williams</t>
  </si>
  <si>
    <t>Leo Wright</t>
  </si>
  <si>
    <t>Aarav Davies</t>
  </si>
  <si>
    <t>Scotland</t>
  </si>
  <si>
    <t>Thomas Evans</t>
  </si>
  <si>
    <t>Charlie Davies</t>
  </si>
  <si>
    <t>Sophia Taylor</t>
  </si>
  <si>
    <t>Harry Thompson</t>
  </si>
  <si>
    <t>Mia Davies</t>
  </si>
  <si>
    <t>25-34</t>
  </si>
  <si>
    <t>Mia Taylor</t>
  </si>
  <si>
    <t>Ella Wright</t>
  </si>
  <si>
    <t>Harry Jones</t>
  </si>
  <si>
    <t>West Midlands</t>
  </si>
  <si>
    <t>Freya Patel</t>
  </si>
  <si>
    <t>Thomas Smith</t>
  </si>
  <si>
    <t>Amelia Smith</t>
  </si>
  <si>
    <t>Thomas Patel</t>
  </si>
  <si>
    <t>Harry Wilson</t>
  </si>
  <si>
    <t>Evie Smith</t>
  </si>
  <si>
    <t>Jack Wilson</t>
  </si>
  <si>
    <t>George Johnson</t>
  </si>
  <si>
    <t>Sophia Wilson</t>
  </si>
  <si>
    <t>Thomas Thomas</t>
  </si>
  <si>
    <t>Muhammad Taylor</t>
  </si>
  <si>
    <t>Isla Smith</t>
  </si>
  <si>
    <t>Amelia Wilson</t>
  </si>
  <si>
    <t>Oscar White</t>
  </si>
  <si>
    <t>Isla Johnson</t>
  </si>
  <si>
    <t>Evie Thompson</t>
  </si>
  <si>
    <t>Sophia Evans</t>
  </si>
  <si>
    <t>Charlie Evans</t>
  </si>
  <si>
    <t>Leo Davies</t>
  </si>
  <si>
    <t>Emily Patel</t>
  </si>
  <si>
    <t>Ella Jones</t>
  </si>
  <si>
    <t>Aarav Patel</t>
  </si>
  <si>
    <t>Emily Taylor</t>
  </si>
  <si>
    <t>Freya Evans</t>
  </si>
  <si>
    <t>Amelia Patel</t>
  </si>
  <si>
    <t>Isla Evans</t>
  </si>
  <si>
    <t>Jack Smith</t>
  </si>
  <si>
    <t>Ella Wilson</t>
  </si>
  <si>
    <t>Jack Thompson</t>
  </si>
  <si>
    <t>Olivia Roberts</t>
  </si>
  <si>
    <t>Mia Johnson</t>
  </si>
  <si>
    <t>Aarav Brown</t>
  </si>
  <si>
    <t>Charlie Thomas</t>
  </si>
  <si>
    <t>Noah Taylor</t>
  </si>
  <si>
    <t>Freya Thompson</t>
  </si>
  <si>
    <t>Noah Jones</t>
  </si>
  <si>
    <t>Olivia Thomas</t>
  </si>
  <si>
    <t>Freya Smith</t>
  </si>
  <si>
    <t>Isla Patel</t>
  </si>
  <si>
    <t>Isla Taylor</t>
  </si>
  <si>
    <t>Freya Williams</t>
  </si>
  <si>
    <t>Grace Roberts</t>
  </si>
  <si>
    <t>Thomas Johnson</t>
  </si>
  <si>
    <t>Charlie Taylor</t>
  </si>
  <si>
    <t>Leo Jones</t>
  </si>
  <si>
    <t>Leo Taylor</t>
  </si>
  <si>
    <t>Ella Thomas</t>
  </si>
  <si>
    <t>Charlie Wright</t>
  </si>
  <si>
    <t>Noah Brown</t>
  </si>
  <si>
    <t>Mia Walker</t>
  </si>
  <si>
    <t>Fresco_Segment</t>
  </si>
  <si>
    <t>Segment_Group</t>
  </si>
  <si>
    <t>Profile_Summary</t>
  </si>
  <si>
    <t>Segment_Weight</t>
  </si>
  <si>
    <t>Affluent</t>
  </si>
  <si>
    <t>High income, investment-aware households</t>
  </si>
  <si>
    <t>Family Growth</t>
  </si>
  <si>
    <t>Family-focused customers with savings potential</t>
  </si>
  <si>
    <t>Emerging Wealth</t>
  </si>
  <si>
    <t>Digitally engaged younger professionals</t>
  </si>
  <si>
    <t>Value Seekers</t>
  </si>
  <si>
    <t>Cost-sensitive customers requiring clear value messages</t>
  </si>
  <si>
    <t>Retirement Focus</t>
  </si>
  <si>
    <t>Older customers focused on security and income</t>
  </si>
  <si>
    <t>Digital First</t>
  </si>
  <si>
    <t>Highly digitally engaged younger customers</t>
  </si>
  <si>
    <t>Conservative</t>
  </si>
  <si>
    <t>Low-risk savers who prefer reassurance</t>
  </si>
  <si>
    <t>Mainstream</t>
  </si>
  <si>
    <t>Average financial engagement and moderate value</t>
  </si>
  <si>
    <t>Rule Area</t>
  </si>
  <si>
    <t>Logic</t>
  </si>
  <si>
    <t>Score Impact</t>
  </si>
  <si>
    <t>Maturity Date</t>
  </si>
  <si>
    <t>0-30 days to maturity</t>
  </si>
  <si>
    <t>+30</t>
  </si>
  <si>
    <t>31-90 days to maturity</t>
  </si>
  <si>
    <t>+20</t>
  </si>
  <si>
    <t>91-180 days to maturity</t>
  </si>
  <si>
    <t>+10</t>
  </si>
  <si>
    <t>Active Direct Debit</t>
  </si>
  <si>
    <t>Active DD = Yes</t>
  </si>
  <si>
    <t>+15</t>
  </si>
  <si>
    <t>Failed Direct Debit</t>
  </si>
  <si>
    <t>Failed DD = Yes</t>
  </si>
  <si>
    <t>-15</t>
  </si>
  <si>
    <t>Account Value</t>
  </si>
  <si>
    <t>£15,000 or more</t>
  </si>
  <si>
    <t>+25</t>
  </si>
  <si>
    <t>£10,000 to £14,999</t>
  </si>
  <si>
    <t>£5,000 to £9,999</t>
  </si>
  <si>
    <t>Online Login</t>
  </si>
  <si>
    <t>Logged in within 30 days</t>
  </si>
  <si>
    <t>Logged in within 90 days</t>
  </si>
  <si>
    <t>+8</t>
  </si>
  <si>
    <t>Complaints</t>
  </si>
  <si>
    <t>0 complaints</t>
  </si>
  <si>
    <t>2 or more complaints</t>
  </si>
  <si>
    <t>-20</t>
  </si>
  <si>
    <t>Campaign Response</t>
  </si>
  <si>
    <t>Previous response = Yes</t>
  </si>
  <si>
    <t>Digital Engagement</t>
  </si>
  <si>
    <t>Email open rate &gt;= 50%</t>
  </si>
  <si>
    <t>3+ web visits in last 30 days</t>
  </si>
  <si>
    <t>Segment Weight</t>
  </si>
  <si>
    <t>Based on Fresco-style segment</t>
  </si>
  <si>
    <t>+5 to +15</t>
  </si>
  <si>
    <t>Customer Segmentation &amp; Next Best Action Model - Sample Dataset</t>
  </si>
  <si>
    <t>Purpose</t>
  </si>
  <si>
    <t>Create a portfolio-ready mock dataset using Fresco-style segmentation to prioritise outbound calling and next-best-action decisions.</t>
  </si>
  <si>
    <t>Important</t>
  </si>
  <si>
    <t>The segment labels are fictional Fresco-style examples for portfolio/demo use only, not official CACI Fresco data.</t>
  </si>
  <si>
    <t>How to use</t>
  </si>
  <si>
    <t>Use Customer_Data as input for Python model. Columns Q:T show Excel formula logic for segment weight, conversion score, priority and next best action.</t>
  </si>
  <si>
    <t>Next step</t>
  </si>
  <si>
    <t>Build the same scoring in Python, export a prioritised call file, then create Power BI visuals by segment/product/priority.</t>
  </si>
  <si>
    <t>complaints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</si>
</sst>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9" fontId="0" fillId="0" borderId="0" xfId="0" applyNumberFormat="1"/>
    <xf numFmtId="1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3"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coringTable" displayName="CustomerScoringTable" ref="A1:T101">
  <tableColumns count="20">
    <tableColumn id="1" xr3:uid="{00000000-0010-0000-0000-000001000000}" name="customer_id"/>
    <tableColumn id="2" xr3:uid="{00000000-0010-0000-0000-000002000000}" name="customer_name"/>
    <tableColumn id="3" xr3:uid="{00000000-0010-0000-0000-000003000000}" name="product_type"/>
    <tableColumn id="4" xr3:uid="{00000000-0010-0000-0000-000004000000}" name="fresco_segment"/>
    <tableColumn id="5" xr3:uid="{00000000-0010-0000-0000-000005000000}" name="age_band"/>
    <tableColumn id="6" xr3:uid="{00000000-0010-0000-0000-000006000000}" name="region"/>
    <tableColumn id="7" xr3:uid="{00000000-0010-0000-0000-000007000000}" name="days_to_maturity"/>
    <tableColumn id="8" xr3:uid="{00000000-0010-0000-0000-000008000000}" name="active_dd"/>
    <tableColumn id="9" xr3:uid="{00000000-0010-0000-0000-000009000000}" name="failed_dd"/>
    <tableColumn id="10" xr3:uid="{00000000-0010-0000-0000-00000A000000}" name="account_value"/>
    <tableColumn id="11" xr3:uid="{00000000-0010-0000-0000-00000B000000}" name="online_login_days"/>
    <tableColumn id="12" xr3:uid="{00000000-0010-0000-0000-00000C000000}" name="complaints"/>
    <tableColumn id="13" xr3:uid="{00000000-0010-0000-0000-00000D000000}" name="previous_campaign_response"/>
    <tableColumn id="14" xr3:uid="{00000000-0010-0000-0000-00000E000000}" name="email_open_rate"/>
    <tableColumn id="15" xr3:uid="{00000000-0010-0000-0000-00000F000000}" name="web_visits_30d"/>
    <tableColumn id="16" xr3:uid="{00000000-0010-0000-0000-000010000000}" name="has_adviser"/>
    <tableColumn id="17" xr3:uid="{00000000-0010-0000-0000-000011000000}" name="segment_weight"/>
    <tableColumn id="18" xr3:uid="{00000000-0010-0000-0000-000012000000}" name="conversion_score"/>
    <tableColumn id="19" xr3:uid="{00000000-0010-0000-0000-000013000000}" name="priority"/>
    <tableColumn id="20" xr3:uid="{00000000-0010-0000-0000-000014000000}" name="next_best_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gmentLookupTable" displayName="SegmentLookupTable" ref="A1:D9">
  <tableColumns count="4">
    <tableColumn id="1" xr3:uid="{00000000-0010-0000-0100-000001000000}" name="Fresco_Segment"/>
    <tableColumn id="2" xr3:uid="{00000000-0010-0000-0100-000002000000}" name="Segment_Group"/>
    <tableColumn id="3" xr3:uid="{00000000-0010-0000-0100-000003000000}" name="Profile_Summary"/>
    <tableColumn id="4" xr3:uid="{00000000-0010-0000-0100-000004000000}" name="Segment_We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elRulesTable" displayName="ModelRulesTable" ref="A1:C17">
  <tableColumns count="3">
    <tableColumn id="1" xr3:uid="{00000000-0010-0000-0200-000001000000}" name="Rule Area"/>
    <tableColumn id="2" xr3:uid="{00000000-0010-0000-0200-000002000000}" name="Logic"/>
    <tableColumn id="3" xr3:uid="{00000000-0010-0000-0200-000003000000}" name="Score 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topLeftCell="I1" workbookViewId="0">
      <selection activeCell="F10" sqref="F10"/>
    </sheetView>
  </sheetViews>
  <sheetFormatPr defaultRowHeight="14.25"/>
  <cols>
    <col min="1" max="1" width="10.125" customWidth="1"/>
    <col min="2" max="2" width="16.375" customWidth="1"/>
    <col min="3" max="3" width="11" customWidth="1"/>
    <col min="4" max="4" width="20.5" customWidth="1"/>
    <col min="5" max="5" width="8" customWidth="1"/>
    <col min="6" max="6" width="12.125" customWidth="1"/>
    <col min="7" max="7" width="14.375" customWidth="1"/>
    <col min="8" max="8" width="8" customWidth="1"/>
    <col min="9" max="9" width="7.625" customWidth="1"/>
    <col min="10" max="10" width="11.875" customWidth="1"/>
    <col min="11" max="11" width="14.75" customWidth="1"/>
    <col min="12" max="12" width="13.5" customWidth="1"/>
    <col min="13" max="13" width="24.25" customWidth="1"/>
    <col min="14" max="14" width="13.875" customWidth="1"/>
    <col min="15" max="15" width="12.625" customWidth="1"/>
    <col min="16" max="16" width="9.75" customWidth="1"/>
    <col min="17" max="17" width="13.625" customWidth="1"/>
    <col min="18" max="18" width="14.125" customWidth="1"/>
    <col min="19" max="19" width="7.625" customWidth="1"/>
    <col min="20" max="20" width="17.375" customWidth="1"/>
  </cols>
  <sheetData>
    <row r="1" spans="1:2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>
        <v>200001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53</v>
      </c>
      <c r="H2" t="s">
        <v>24</v>
      </c>
      <c r="I2" t="s">
        <v>24</v>
      </c>
      <c r="J2" s="2">
        <v>3348</v>
      </c>
      <c r="K2">
        <v>152</v>
      </c>
      <c r="L2">
        <v>0</v>
      </c>
      <c r="M2" t="s">
        <v>25</v>
      </c>
      <c r="N2" s="3">
        <v>0.19</v>
      </c>
      <c r="O2">
        <v>8</v>
      </c>
      <c r="P2" t="s">
        <v>24</v>
      </c>
      <c r="Q2">
        <f>VLOOKUP(D2,Segment_Lookup!$A$2:$D$9,4,FALSE)</f>
        <v>10</v>
      </c>
      <c r="R2" s="4">
        <f t="shared" ref="R2:R33" si="0">IF(G2&lt;=30,30,IF(G2&lt;=90,20,IF(G2&lt;=180,10,0)))+IF(H2="Yes",15,0)+IF(I2="Yes",-15,0)+IF(J2&gt;=15000,25,IF(J2&gt;=10000,20,IF(J2&gt;=5000,10,0)))+IF(K2&lt;=30,15,IF(K2&lt;=90,8,0))+IF(L2=0,10,IF(L2&gt;=2,-20,0))+IF(M2="Yes",15,0)+IF(N2&gt;=0.5,10,0)+IF(O2&gt;=3,10,0)+Q2</f>
        <v>65</v>
      </c>
      <c r="S2" t="str">
        <f t="shared" ref="S2:S33" si="1">IF(R2&gt;=85,"Very High",IF(R2&gt;=65,"High",IF(R2&gt;=40,"Medium","Low")))</f>
        <v>High</v>
      </c>
      <c r="T2" t="str">
        <f t="shared" ref="T2:T33" si="2">IF(S2="Very High","Priority outbound call",IF(S2="High","Outbound call",IF(AND(S2="Medium",N2&gt;=0.4),"Email then call","Digital nurture")))</f>
        <v>Outbound call</v>
      </c>
    </row>
    <row r="3" spans="1:20">
      <c r="A3">
        <v>200002</v>
      </c>
      <c r="B3" t="s">
        <v>26</v>
      </c>
      <c r="C3" t="s">
        <v>20</v>
      </c>
      <c r="D3" t="s">
        <v>27</v>
      </c>
      <c r="E3" t="s">
        <v>28</v>
      </c>
      <c r="F3" t="s">
        <v>29</v>
      </c>
      <c r="G3">
        <v>143</v>
      </c>
      <c r="H3" t="s">
        <v>24</v>
      </c>
      <c r="I3" t="s">
        <v>25</v>
      </c>
      <c r="J3" s="2">
        <v>26905</v>
      </c>
      <c r="K3">
        <v>41</v>
      </c>
      <c r="L3">
        <v>1</v>
      </c>
      <c r="M3" t="s">
        <v>24</v>
      </c>
      <c r="N3" s="3">
        <v>0.13</v>
      </c>
      <c r="O3">
        <v>12</v>
      </c>
      <c r="P3" t="s">
        <v>24</v>
      </c>
      <c r="Q3">
        <f>VLOOKUP(D3,Segment_Lookup!$A$2:$D$9,4,FALSE)</f>
        <v>8</v>
      </c>
      <c r="R3" s="4">
        <f t="shared" si="0"/>
        <v>46</v>
      </c>
      <c r="S3" t="str">
        <f t="shared" si="1"/>
        <v>Medium</v>
      </c>
      <c r="T3" t="str">
        <f t="shared" si="2"/>
        <v>Digital nurture</v>
      </c>
    </row>
    <row r="4" spans="1:20">
      <c r="A4">
        <v>200003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236</v>
      </c>
      <c r="H4" t="s">
        <v>25</v>
      </c>
      <c r="I4" t="s">
        <v>24</v>
      </c>
      <c r="J4" s="2">
        <v>12903</v>
      </c>
      <c r="K4">
        <v>21</v>
      </c>
      <c r="L4">
        <v>1</v>
      </c>
      <c r="M4" t="s">
        <v>24</v>
      </c>
      <c r="N4" s="3">
        <v>0.53</v>
      </c>
      <c r="O4">
        <v>5</v>
      </c>
      <c r="P4" t="s">
        <v>24</v>
      </c>
      <c r="Q4">
        <f>VLOOKUP(D4,Segment_Lookup!$A$2:$D$9,4,FALSE)</f>
        <v>13</v>
      </c>
      <c r="R4" s="4">
        <f t="shared" si="0"/>
        <v>83</v>
      </c>
      <c r="S4" t="str">
        <f t="shared" si="1"/>
        <v>High</v>
      </c>
      <c r="T4" t="str">
        <f t="shared" si="2"/>
        <v>Outbound call</v>
      </c>
    </row>
    <row r="5" spans="1:20">
      <c r="A5">
        <v>200004</v>
      </c>
      <c r="B5" t="s">
        <v>34</v>
      </c>
      <c r="C5" t="s">
        <v>20</v>
      </c>
      <c r="D5" t="s">
        <v>35</v>
      </c>
      <c r="E5" t="s">
        <v>22</v>
      </c>
      <c r="F5" t="s">
        <v>36</v>
      </c>
      <c r="G5">
        <v>52</v>
      </c>
      <c r="H5" t="s">
        <v>25</v>
      </c>
      <c r="I5" t="s">
        <v>24</v>
      </c>
      <c r="J5" s="2">
        <v>27832</v>
      </c>
      <c r="K5">
        <v>94</v>
      </c>
      <c r="L5">
        <v>0</v>
      </c>
      <c r="M5" t="s">
        <v>24</v>
      </c>
      <c r="N5" s="3">
        <v>0.56999999999999995</v>
      </c>
      <c r="O5">
        <v>11</v>
      </c>
      <c r="P5" t="s">
        <v>24</v>
      </c>
      <c r="Q5">
        <f>VLOOKUP(D5,Segment_Lookup!$A$2:$D$9,4,FALSE)</f>
        <v>5</v>
      </c>
      <c r="R5" s="4">
        <f t="shared" si="0"/>
        <v>95</v>
      </c>
      <c r="S5" t="str">
        <f t="shared" si="1"/>
        <v>Very High</v>
      </c>
      <c r="T5" t="str">
        <f t="shared" si="2"/>
        <v>Priority outbound call</v>
      </c>
    </row>
    <row r="6" spans="1:20">
      <c r="A6">
        <v>200005</v>
      </c>
      <c r="B6" t="s">
        <v>37</v>
      </c>
      <c r="C6" t="s">
        <v>20</v>
      </c>
      <c r="D6" t="s">
        <v>38</v>
      </c>
      <c r="E6" t="s">
        <v>39</v>
      </c>
      <c r="F6" t="s">
        <v>23</v>
      </c>
      <c r="G6">
        <v>237</v>
      </c>
      <c r="H6" t="s">
        <v>25</v>
      </c>
      <c r="I6" t="s">
        <v>24</v>
      </c>
      <c r="J6" s="2">
        <v>21471</v>
      </c>
      <c r="K6">
        <v>177</v>
      </c>
      <c r="L6">
        <v>1</v>
      </c>
      <c r="M6" t="s">
        <v>24</v>
      </c>
      <c r="N6" s="3">
        <v>0.72</v>
      </c>
      <c r="O6">
        <v>12</v>
      </c>
      <c r="P6" t="s">
        <v>25</v>
      </c>
      <c r="Q6">
        <f>VLOOKUP(D6,Segment_Lookup!$A$2:$D$9,4,FALSE)</f>
        <v>14</v>
      </c>
      <c r="R6" s="4">
        <f t="shared" si="0"/>
        <v>74</v>
      </c>
      <c r="S6" t="str">
        <f t="shared" si="1"/>
        <v>High</v>
      </c>
      <c r="T6" t="str">
        <f t="shared" si="2"/>
        <v>Outbound call</v>
      </c>
    </row>
    <row r="7" spans="1:20">
      <c r="A7">
        <v>200006</v>
      </c>
      <c r="B7" t="s">
        <v>40</v>
      </c>
      <c r="C7" t="s">
        <v>41</v>
      </c>
      <c r="D7" t="s">
        <v>27</v>
      </c>
      <c r="E7" t="s">
        <v>28</v>
      </c>
      <c r="F7" t="s">
        <v>36</v>
      </c>
      <c r="G7">
        <v>291</v>
      </c>
      <c r="H7" t="s">
        <v>24</v>
      </c>
      <c r="I7" t="s">
        <v>24</v>
      </c>
      <c r="J7" s="2">
        <v>21977</v>
      </c>
      <c r="K7">
        <v>128</v>
      </c>
      <c r="L7">
        <v>0</v>
      </c>
      <c r="M7" t="s">
        <v>24</v>
      </c>
      <c r="N7" s="3">
        <v>0.39</v>
      </c>
      <c r="O7">
        <v>4</v>
      </c>
      <c r="P7" t="s">
        <v>25</v>
      </c>
      <c r="Q7">
        <f>VLOOKUP(D7,Segment_Lookup!$A$2:$D$9,4,FALSE)</f>
        <v>8</v>
      </c>
      <c r="R7" s="4">
        <f t="shared" si="0"/>
        <v>53</v>
      </c>
      <c r="S7" t="str">
        <f t="shared" si="1"/>
        <v>Medium</v>
      </c>
      <c r="T7" t="str">
        <f t="shared" si="2"/>
        <v>Digital nurture</v>
      </c>
    </row>
    <row r="8" spans="1:20">
      <c r="A8">
        <v>200007</v>
      </c>
      <c r="B8" t="s">
        <v>42</v>
      </c>
      <c r="C8" t="s">
        <v>20</v>
      </c>
      <c r="D8" t="s">
        <v>21</v>
      </c>
      <c r="E8" t="s">
        <v>39</v>
      </c>
      <c r="F8" t="s">
        <v>29</v>
      </c>
      <c r="G8">
        <v>205</v>
      </c>
      <c r="H8" t="s">
        <v>25</v>
      </c>
      <c r="I8" t="s">
        <v>24</v>
      </c>
      <c r="J8" s="2">
        <v>5032</v>
      </c>
      <c r="K8">
        <v>131</v>
      </c>
      <c r="L8">
        <v>0</v>
      </c>
      <c r="M8" t="s">
        <v>24</v>
      </c>
      <c r="N8" s="3">
        <v>0.73</v>
      </c>
      <c r="O8">
        <v>2</v>
      </c>
      <c r="P8" t="s">
        <v>24</v>
      </c>
      <c r="Q8">
        <f>VLOOKUP(D8,Segment_Lookup!$A$2:$D$9,4,FALSE)</f>
        <v>10</v>
      </c>
      <c r="R8" s="4">
        <f t="shared" si="0"/>
        <v>55</v>
      </c>
      <c r="S8" t="str">
        <f t="shared" si="1"/>
        <v>Medium</v>
      </c>
      <c r="T8" t="str">
        <f t="shared" si="2"/>
        <v>Email then call</v>
      </c>
    </row>
    <row r="9" spans="1:20">
      <c r="A9">
        <v>200008</v>
      </c>
      <c r="B9" t="s">
        <v>43</v>
      </c>
      <c r="C9" t="s">
        <v>20</v>
      </c>
      <c r="D9" t="s">
        <v>44</v>
      </c>
      <c r="E9" t="s">
        <v>45</v>
      </c>
      <c r="F9" t="s">
        <v>29</v>
      </c>
      <c r="G9">
        <v>240</v>
      </c>
      <c r="H9" t="s">
        <v>25</v>
      </c>
      <c r="I9" t="s">
        <v>24</v>
      </c>
      <c r="J9" s="2">
        <v>28706</v>
      </c>
      <c r="K9">
        <v>3</v>
      </c>
      <c r="L9">
        <v>1</v>
      </c>
      <c r="M9" t="s">
        <v>25</v>
      </c>
      <c r="N9" s="3">
        <v>0.75</v>
      </c>
      <c r="O9">
        <v>12</v>
      </c>
      <c r="P9" t="s">
        <v>24</v>
      </c>
      <c r="Q9">
        <f>VLOOKUP(D9,Segment_Lookup!$A$2:$D$9,4,FALSE)</f>
        <v>12</v>
      </c>
      <c r="R9" s="4">
        <f t="shared" si="0"/>
        <v>102</v>
      </c>
      <c r="S9" t="str">
        <f t="shared" si="1"/>
        <v>Very High</v>
      </c>
      <c r="T9" t="str">
        <f t="shared" si="2"/>
        <v>Priority outbound call</v>
      </c>
    </row>
    <row r="10" spans="1:20">
      <c r="A10">
        <v>200009</v>
      </c>
      <c r="B10" t="s">
        <v>46</v>
      </c>
      <c r="C10" t="s">
        <v>20</v>
      </c>
      <c r="D10" t="s">
        <v>21</v>
      </c>
      <c r="E10" t="s">
        <v>22</v>
      </c>
      <c r="F10" t="s">
        <v>47</v>
      </c>
      <c r="G10">
        <v>2</v>
      </c>
      <c r="H10" t="s">
        <v>24</v>
      </c>
      <c r="I10" t="s">
        <v>24</v>
      </c>
      <c r="J10" s="2">
        <v>9130</v>
      </c>
      <c r="K10">
        <v>129</v>
      </c>
      <c r="L10">
        <v>1</v>
      </c>
      <c r="M10" t="s">
        <v>24</v>
      </c>
      <c r="N10" s="3">
        <v>0.09</v>
      </c>
      <c r="O10">
        <v>10</v>
      </c>
      <c r="P10" t="s">
        <v>24</v>
      </c>
      <c r="Q10">
        <f>VLOOKUP(D10,Segment_Lookup!$A$2:$D$9,4,FALSE)</f>
        <v>10</v>
      </c>
      <c r="R10" s="4">
        <f t="shared" si="0"/>
        <v>60</v>
      </c>
      <c r="S10" t="str">
        <f t="shared" si="1"/>
        <v>Medium</v>
      </c>
      <c r="T10" t="str">
        <f t="shared" si="2"/>
        <v>Digital nurture</v>
      </c>
    </row>
    <row r="11" spans="1:20">
      <c r="A11">
        <v>200010</v>
      </c>
      <c r="B11" t="s">
        <v>48</v>
      </c>
      <c r="C11" t="s">
        <v>20</v>
      </c>
      <c r="D11" t="s">
        <v>35</v>
      </c>
      <c r="E11" t="s">
        <v>39</v>
      </c>
      <c r="F11" t="s">
        <v>23</v>
      </c>
      <c r="G11">
        <v>277</v>
      </c>
      <c r="H11" t="s">
        <v>24</v>
      </c>
      <c r="I11" t="s">
        <v>24</v>
      </c>
      <c r="J11" s="2">
        <v>518</v>
      </c>
      <c r="K11">
        <v>154</v>
      </c>
      <c r="L11">
        <v>0</v>
      </c>
      <c r="M11" t="s">
        <v>25</v>
      </c>
      <c r="N11" s="3">
        <v>0.79</v>
      </c>
      <c r="O11">
        <v>12</v>
      </c>
      <c r="P11" t="s">
        <v>24</v>
      </c>
      <c r="Q11">
        <f>VLOOKUP(D11,Segment_Lookup!$A$2:$D$9,4,FALSE)</f>
        <v>5</v>
      </c>
      <c r="R11" s="4">
        <f t="shared" si="0"/>
        <v>50</v>
      </c>
      <c r="S11" t="str">
        <f t="shared" si="1"/>
        <v>Medium</v>
      </c>
      <c r="T11" t="str">
        <f t="shared" si="2"/>
        <v>Email then call</v>
      </c>
    </row>
    <row r="12" spans="1:20">
      <c r="A12">
        <v>200011</v>
      </c>
      <c r="B12" t="s">
        <v>49</v>
      </c>
      <c r="C12" t="s">
        <v>31</v>
      </c>
      <c r="D12" t="s">
        <v>44</v>
      </c>
      <c r="E12" t="s">
        <v>39</v>
      </c>
      <c r="F12" t="s">
        <v>50</v>
      </c>
      <c r="G12">
        <v>273</v>
      </c>
      <c r="H12" t="s">
        <v>24</v>
      </c>
      <c r="I12" t="s">
        <v>25</v>
      </c>
      <c r="J12" s="2">
        <v>16074</v>
      </c>
      <c r="K12">
        <v>141</v>
      </c>
      <c r="L12">
        <v>0</v>
      </c>
      <c r="M12" t="s">
        <v>24</v>
      </c>
      <c r="N12" s="3">
        <v>0.52</v>
      </c>
      <c r="O12">
        <v>3</v>
      </c>
      <c r="P12" t="s">
        <v>24</v>
      </c>
      <c r="Q12">
        <f>VLOOKUP(D12,Segment_Lookup!$A$2:$D$9,4,FALSE)</f>
        <v>12</v>
      </c>
      <c r="R12" s="4">
        <f t="shared" si="0"/>
        <v>52</v>
      </c>
      <c r="S12" t="str">
        <f t="shared" si="1"/>
        <v>Medium</v>
      </c>
      <c r="T12" t="str">
        <f t="shared" si="2"/>
        <v>Email then call</v>
      </c>
    </row>
    <row r="13" spans="1:20">
      <c r="A13">
        <v>200012</v>
      </c>
      <c r="B13" t="s">
        <v>51</v>
      </c>
      <c r="C13" t="s">
        <v>20</v>
      </c>
      <c r="D13" t="s">
        <v>35</v>
      </c>
      <c r="E13" t="s">
        <v>28</v>
      </c>
      <c r="F13" t="s">
        <v>52</v>
      </c>
      <c r="G13">
        <v>225</v>
      </c>
      <c r="H13" t="s">
        <v>24</v>
      </c>
      <c r="I13" t="s">
        <v>24</v>
      </c>
      <c r="J13" s="2">
        <v>8623</v>
      </c>
      <c r="K13">
        <v>58</v>
      </c>
      <c r="L13">
        <v>0</v>
      </c>
      <c r="M13" t="s">
        <v>25</v>
      </c>
      <c r="N13" s="3">
        <v>0.47</v>
      </c>
      <c r="O13">
        <v>9</v>
      </c>
      <c r="P13" t="s">
        <v>24</v>
      </c>
      <c r="Q13">
        <f>VLOOKUP(D13,Segment_Lookup!$A$2:$D$9,4,FALSE)</f>
        <v>5</v>
      </c>
      <c r="R13" s="4">
        <f t="shared" si="0"/>
        <v>58</v>
      </c>
      <c r="S13" t="str">
        <f t="shared" si="1"/>
        <v>Medium</v>
      </c>
      <c r="T13" t="str">
        <f t="shared" si="2"/>
        <v>Email then call</v>
      </c>
    </row>
    <row r="14" spans="1:20">
      <c r="A14">
        <v>200013</v>
      </c>
      <c r="B14" t="s">
        <v>53</v>
      </c>
      <c r="C14" t="s">
        <v>31</v>
      </c>
      <c r="D14" t="s">
        <v>54</v>
      </c>
      <c r="E14" t="s">
        <v>28</v>
      </c>
      <c r="F14" t="s">
        <v>33</v>
      </c>
      <c r="G14">
        <v>170</v>
      </c>
      <c r="H14" t="s">
        <v>25</v>
      </c>
      <c r="I14" t="s">
        <v>24</v>
      </c>
      <c r="J14" s="2">
        <v>22421</v>
      </c>
      <c r="K14">
        <v>125</v>
      </c>
      <c r="L14">
        <v>0</v>
      </c>
      <c r="M14" t="s">
        <v>25</v>
      </c>
      <c r="N14" s="3">
        <v>0.8</v>
      </c>
      <c r="O14">
        <v>9</v>
      </c>
      <c r="P14" t="s">
        <v>24</v>
      </c>
      <c r="Q14">
        <f>VLOOKUP(D14,Segment_Lookup!$A$2:$D$9,4,FALSE)</f>
        <v>15</v>
      </c>
      <c r="R14" s="4">
        <f t="shared" si="0"/>
        <v>110</v>
      </c>
      <c r="S14" t="str">
        <f t="shared" si="1"/>
        <v>Very High</v>
      </c>
      <c r="T14" t="str">
        <f t="shared" si="2"/>
        <v>Priority outbound call</v>
      </c>
    </row>
    <row r="15" spans="1:20">
      <c r="A15">
        <v>200014</v>
      </c>
      <c r="B15" t="s">
        <v>55</v>
      </c>
      <c r="C15" t="s">
        <v>56</v>
      </c>
      <c r="D15" t="s">
        <v>27</v>
      </c>
      <c r="E15" t="s">
        <v>45</v>
      </c>
      <c r="F15" t="s">
        <v>50</v>
      </c>
      <c r="G15">
        <v>338</v>
      </c>
      <c r="H15" t="s">
        <v>25</v>
      </c>
      <c r="I15" t="s">
        <v>24</v>
      </c>
      <c r="J15" s="2">
        <v>15803</v>
      </c>
      <c r="K15">
        <v>222</v>
      </c>
      <c r="L15">
        <v>1</v>
      </c>
      <c r="M15" t="s">
        <v>24</v>
      </c>
      <c r="N15" s="3">
        <v>0.84</v>
      </c>
      <c r="O15">
        <v>1</v>
      </c>
      <c r="P15" t="s">
        <v>25</v>
      </c>
      <c r="Q15">
        <f>VLOOKUP(D15,Segment_Lookup!$A$2:$D$9,4,FALSE)</f>
        <v>8</v>
      </c>
      <c r="R15" s="4">
        <f t="shared" si="0"/>
        <v>58</v>
      </c>
      <c r="S15" t="str">
        <f t="shared" si="1"/>
        <v>Medium</v>
      </c>
      <c r="T15" t="str">
        <f t="shared" si="2"/>
        <v>Email then call</v>
      </c>
    </row>
    <row r="16" spans="1:20">
      <c r="A16">
        <v>200015</v>
      </c>
      <c r="B16" t="s">
        <v>57</v>
      </c>
      <c r="C16" t="s">
        <v>20</v>
      </c>
      <c r="D16" t="s">
        <v>35</v>
      </c>
      <c r="E16" t="s">
        <v>22</v>
      </c>
      <c r="F16" t="s">
        <v>58</v>
      </c>
      <c r="G16">
        <v>230</v>
      </c>
      <c r="H16" t="s">
        <v>25</v>
      </c>
      <c r="I16" t="s">
        <v>24</v>
      </c>
      <c r="J16" s="2">
        <v>15659</v>
      </c>
      <c r="K16">
        <v>64</v>
      </c>
      <c r="L16">
        <v>2</v>
      </c>
      <c r="M16" t="s">
        <v>25</v>
      </c>
      <c r="N16" s="3">
        <v>0.69</v>
      </c>
      <c r="O16">
        <v>8</v>
      </c>
      <c r="P16" t="s">
        <v>25</v>
      </c>
      <c r="Q16">
        <f>VLOOKUP(D16,Segment_Lookup!$A$2:$D$9,4,FALSE)</f>
        <v>5</v>
      </c>
      <c r="R16" s="4">
        <f t="shared" si="0"/>
        <v>68</v>
      </c>
      <c r="S16" t="str">
        <f t="shared" si="1"/>
        <v>High</v>
      </c>
      <c r="T16" t="str">
        <f t="shared" si="2"/>
        <v>Outbound call</v>
      </c>
    </row>
    <row r="17" spans="1:20">
      <c r="A17">
        <v>200016</v>
      </c>
      <c r="B17" t="s">
        <v>59</v>
      </c>
      <c r="C17" t="s">
        <v>20</v>
      </c>
      <c r="D17" t="s">
        <v>54</v>
      </c>
      <c r="E17" t="s">
        <v>39</v>
      </c>
      <c r="F17" t="s">
        <v>23</v>
      </c>
      <c r="G17">
        <v>209</v>
      </c>
      <c r="H17" t="s">
        <v>25</v>
      </c>
      <c r="I17" t="s">
        <v>24</v>
      </c>
      <c r="J17" s="2">
        <v>13641</v>
      </c>
      <c r="K17">
        <v>232</v>
      </c>
      <c r="L17">
        <v>0</v>
      </c>
      <c r="M17" t="s">
        <v>24</v>
      </c>
      <c r="N17" s="3">
        <v>0.84</v>
      </c>
      <c r="O17">
        <v>4</v>
      </c>
      <c r="P17" t="s">
        <v>24</v>
      </c>
      <c r="Q17">
        <f>VLOOKUP(D17,Segment_Lookup!$A$2:$D$9,4,FALSE)</f>
        <v>15</v>
      </c>
      <c r="R17" s="4">
        <f t="shared" si="0"/>
        <v>80</v>
      </c>
      <c r="S17" t="str">
        <f t="shared" si="1"/>
        <v>High</v>
      </c>
      <c r="T17" t="str">
        <f t="shared" si="2"/>
        <v>Outbound call</v>
      </c>
    </row>
    <row r="18" spans="1:20">
      <c r="A18">
        <v>200017</v>
      </c>
      <c r="B18" t="s">
        <v>60</v>
      </c>
      <c r="C18" t="s">
        <v>20</v>
      </c>
      <c r="D18" t="s">
        <v>27</v>
      </c>
      <c r="E18" t="s">
        <v>61</v>
      </c>
      <c r="F18" t="s">
        <v>23</v>
      </c>
      <c r="G18">
        <v>98</v>
      </c>
      <c r="H18" t="s">
        <v>25</v>
      </c>
      <c r="I18" t="s">
        <v>24</v>
      </c>
      <c r="J18" s="2">
        <v>19478</v>
      </c>
      <c r="K18">
        <v>189</v>
      </c>
      <c r="L18">
        <v>0</v>
      </c>
      <c r="M18" t="s">
        <v>24</v>
      </c>
      <c r="N18" s="3">
        <v>0.05</v>
      </c>
      <c r="O18">
        <v>9</v>
      </c>
      <c r="P18" t="s">
        <v>24</v>
      </c>
      <c r="Q18">
        <f>VLOOKUP(D18,Segment_Lookup!$A$2:$D$9,4,FALSE)</f>
        <v>8</v>
      </c>
      <c r="R18" s="4">
        <f t="shared" si="0"/>
        <v>78</v>
      </c>
      <c r="S18" t="str">
        <f t="shared" si="1"/>
        <v>High</v>
      </c>
      <c r="T18" t="str">
        <f t="shared" si="2"/>
        <v>Outbound call</v>
      </c>
    </row>
    <row r="19" spans="1:20">
      <c r="A19">
        <v>200018</v>
      </c>
      <c r="B19" t="s">
        <v>62</v>
      </c>
      <c r="C19" t="s">
        <v>41</v>
      </c>
      <c r="D19" t="s">
        <v>54</v>
      </c>
      <c r="E19" t="s">
        <v>39</v>
      </c>
      <c r="F19" t="s">
        <v>23</v>
      </c>
      <c r="G19">
        <v>36</v>
      </c>
      <c r="H19" t="s">
        <v>25</v>
      </c>
      <c r="I19" t="s">
        <v>24</v>
      </c>
      <c r="J19" s="2">
        <v>8207</v>
      </c>
      <c r="K19">
        <v>104</v>
      </c>
      <c r="L19">
        <v>0</v>
      </c>
      <c r="M19" t="s">
        <v>24</v>
      </c>
      <c r="N19" s="3">
        <v>0.21</v>
      </c>
      <c r="O19">
        <v>9</v>
      </c>
      <c r="P19" t="s">
        <v>25</v>
      </c>
      <c r="Q19">
        <f>VLOOKUP(D19,Segment_Lookup!$A$2:$D$9,4,FALSE)</f>
        <v>15</v>
      </c>
      <c r="R19" s="4">
        <f t="shared" si="0"/>
        <v>80</v>
      </c>
      <c r="S19" t="str">
        <f t="shared" si="1"/>
        <v>High</v>
      </c>
      <c r="T19" t="str">
        <f t="shared" si="2"/>
        <v>Outbound call</v>
      </c>
    </row>
    <row r="20" spans="1:20">
      <c r="A20">
        <v>200019</v>
      </c>
      <c r="B20" t="s">
        <v>63</v>
      </c>
      <c r="C20" t="s">
        <v>31</v>
      </c>
      <c r="D20" t="s">
        <v>32</v>
      </c>
      <c r="E20" t="s">
        <v>28</v>
      </c>
      <c r="F20" t="s">
        <v>52</v>
      </c>
      <c r="G20">
        <v>123</v>
      </c>
      <c r="H20" t="s">
        <v>25</v>
      </c>
      <c r="I20" t="s">
        <v>25</v>
      </c>
      <c r="J20" s="2">
        <v>21651</v>
      </c>
      <c r="K20">
        <v>77</v>
      </c>
      <c r="L20">
        <v>0</v>
      </c>
      <c r="M20" t="s">
        <v>24</v>
      </c>
      <c r="N20" s="3">
        <v>0.8</v>
      </c>
      <c r="O20">
        <v>0</v>
      </c>
      <c r="P20" t="s">
        <v>24</v>
      </c>
      <c r="Q20">
        <f>VLOOKUP(D20,Segment_Lookup!$A$2:$D$9,4,FALSE)</f>
        <v>13</v>
      </c>
      <c r="R20" s="4">
        <f t="shared" si="0"/>
        <v>76</v>
      </c>
      <c r="S20" t="str">
        <f t="shared" si="1"/>
        <v>High</v>
      </c>
      <c r="T20" t="str">
        <f t="shared" si="2"/>
        <v>Outbound call</v>
      </c>
    </row>
    <row r="21" spans="1:20">
      <c r="A21">
        <v>200020</v>
      </c>
      <c r="B21" t="s">
        <v>64</v>
      </c>
      <c r="C21" t="s">
        <v>41</v>
      </c>
      <c r="D21" t="s">
        <v>44</v>
      </c>
      <c r="E21" t="s">
        <v>39</v>
      </c>
      <c r="F21" t="s">
        <v>58</v>
      </c>
      <c r="G21">
        <v>136</v>
      </c>
      <c r="H21" t="s">
        <v>25</v>
      </c>
      <c r="I21" t="s">
        <v>24</v>
      </c>
      <c r="J21" s="2">
        <v>2754</v>
      </c>
      <c r="K21">
        <v>226</v>
      </c>
      <c r="L21">
        <v>0</v>
      </c>
      <c r="M21" t="s">
        <v>24</v>
      </c>
      <c r="N21" s="3">
        <v>0.37</v>
      </c>
      <c r="O21">
        <v>8</v>
      </c>
      <c r="P21" t="s">
        <v>24</v>
      </c>
      <c r="Q21">
        <f>VLOOKUP(D21,Segment_Lookup!$A$2:$D$9,4,FALSE)</f>
        <v>12</v>
      </c>
      <c r="R21" s="4">
        <f t="shared" si="0"/>
        <v>57</v>
      </c>
      <c r="S21" t="str">
        <f t="shared" si="1"/>
        <v>Medium</v>
      </c>
      <c r="T21" t="str">
        <f t="shared" si="2"/>
        <v>Digital nurture</v>
      </c>
    </row>
    <row r="22" spans="1:20">
      <c r="A22">
        <v>200021</v>
      </c>
      <c r="B22" t="s">
        <v>65</v>
      </c>
      <c r="C22" t="s">
        <v>20</v>
      </c>
      <c r="D22" t="s">
        <v>54</v>
      </c>
      <c r="E22" t="s">
        <v>28</v>
      </c>
      <c r="F22" t="s">
        <v>50</v>
      </c>
      <c r="G22">
        <v>69</v>
      </c>
      <c r="H22" t="s">
        <v>25</v>
      </c>
      <c r="I22" t="s">
        <v>24</v>
      </c>
      <c r="J22" s="2">
        <v>24827</v>
      </c>
      <c r="K22">
        <v>142</v>
      </c>
      <c r="L22">
        <v>0</v>
      </c>
      <c r="M22" t="s">
        <v>24</v>
      </c>
      <c r="N22" s="3">
        <v>0.18</v>
      </c>
      <c r="O22">
        <v>5</v>
      </c>
      <c r="P22" t="s">
        <v>24</v>
      </c>
      <c r="Q22">
        <f>VLOOKUP(D22,Segment_Lookup!$A$2:$D$9,4,FALSE)</f>
        <v>15</v>
      </c>
      <c r="R22" s="4">
        <f t="shared" si="0"/>
        <v>95</v>
      </c>
      <c r="S22" t="str">
        <f t="shared" si="1"/>
        <v>Very High</v>
      </c>
      <c r="T22" t="str">
        <f t="shared" si="2"/>
        <v>Priority outbound call</v>
      </c>
    </row>
    <row r="23" spans="1:20">
      <c r="A23">
        <v>200022</v>
      </c>
      <c r="B23" t="s">
        <v>66</v>
      </c>
      <c r="C23" t="s">
        <v>20</v>
      </c>
      <c r="D23" t="s">
        <v>67</v>
      </c>
      <c r="E23" t="s">
        <v>61</v>
      </c>
      <c r="F23" t="s">
        <v>50</v>
      </c>
      <c r="G23">
        <v>325</v>
      </c>
      <c r="H23" t="s">
        <v>25</v>
      </c>
      <c r="I23" t="s">
        <v>24</v>
      </c>
      <c r="J23" s="2">
        <v>616</v>
      </c>
      <c r="K23">
        <v>86</v>
      </c>
      <c r="L23">
        <v>1</v>
      </c>
      <c r="M23" t="s">
        <v>24</v>
      </c>
      <c r="N23" s="3">
        <v>0.22</v>
      </c>
      <c r="O23">
        <v>11</v>
      </c>
      <c r="P23" t="s">
        <v>24</v>
      </c>
      <c r="Q23">
        <f>VLOOKUP(D23,Segment_Lookup!$A$2:$D$9,4,FALSE)</f>
        <v>7</v>
      </c>
      <c r="R23" s="4">
        <f t="shared" si="0"/>
        <v>40</v>
      </c>
      <c r="S23" t="str">
        <f t="shared" si="1"/>
        <v>Medium</v>
      </c>
      <c r="T23" t="str">
        <f t="shared" si="2"/>
        <v>Digital nurture</v>
      </c>
    </row>
    <row r="24" spans="1:20">
      <c r="A24">
        <v>200023</v>
      </c>
      <c r="B24" t="s">
        <v>68</v>
      </c>
      <c r="C24" t="s">
        <v>20</v>
      </c>
      <c r="D24" t="s">
        <v>54</v>
      </c>
      <c r="E24" t="s">
        <v>39</v>
      </c>
      <c r="F24" t="s">
        <v>23</v>
      </c>
      <c r="G24">
        <v>280</v>
      </c>
      <c r="H24" t="s">
        <v>25</v>
      </c>
      <c r="I24" t="s">
        <v>24</v>
      </c>
      <c r="J24" s="2">
        <v>18605</v>
      </c>
      <c r="K24">
        <v>38</v>
      </c>
      <c r="L24">
        <v>0</v>
      </c>
      <c r="M24" t="s">
        <v>25</v>
      </c>
      <c r="N24" s="3">
        <v>0.31</v>
      </c>
      <c r="O24">
        <v>12</v>
      </c>
      <c r="P24" t="s">
        <v>24</v>
      </c>
      <c r="Q24">
        <f>VLOOKUP(D24,Segment_Lookup!$A$2:$D$9,4,FALSE)</f>
        <v>15</v>
      </c>
      <c r="R24" s="4">
        <f t="shared" si="0"/>
        <v>98</v>
      </c>
      <c r="S24" t="str">
        <f t="shared" si="1"/>
        <v>Very High</v>
      </c>
      <c r="T24" t="str">
        <f t="shared" si="2"/>
        <v>Priority outbound call</v>
      </c>
    </row>
    <row r="25" spans="1:20">
      <c r="A25">
        <v>200024</v>
      </c>
      <c r="B25" t="s">
        <v>69</v>
      </c>
      <c r="C25" t="s">
        <v>31</v>
      </c>
      <c r="D25" t="s">
        <v>35</v>
      </c>
      <c r="E25" t="s">
        <v>61</v>
      </c>
      <c r="F25" t="s">
        <v>52</v>
      </c>
      <c r="G25">
        <v>287</v>
      </c>
      <c r="H25" t="s">
        <v>24</v>
      </c>
      <c r="I25" t="s">
        <v>24</v>
      </c>
      <c r="J25" s="2">
        <v>20837</v>
      </c>
      <c r="K25">
        <v>192</v>
      </c>
      <c r="L25">
        <v>0</v>
      </c>
      <c r="M25" t="s">
        <v>24</v>
      </c>
      <c r="N25" s="3">
        <v>0.73</v>
      </c>
      <c r="O25">
        <v>12</v>
      </c>
      <c r="P25" t="s">
        <v>24</v>
      </c>
      <c r="Q25">
        <f>VLOOKUP(D25,Segment_Lookup!$A$2:$D$9,4,FALSE)</f>
        <v>5</v>
      </c>
      <c r="R25" s="4">
        <f t="shared" si="0"/>
        <v>60</v>
      </c>
      <c r="S25" t="str">
        <f t="shared" si="1"/>
        <v>Medium</v>
      </c>
      <c r="T25" t="str">
        <f t="shared" si="2"/>
        <v>Email then call</v>
      </c>
    </row>
    <row r="26" spans="1:20">
      <c r="A26">
        <v>200025</v>
      </c>
      <c r="B26" t="s">
        <v>70</v>
      </c>
      <c r="C26" t="s">
        <v>41</v>
      </c>
      <c r="D26" t="s">
        <v>38</v>
      </c>
      <c r="E26" t="s">
        <v>39</v>
      </c>
      <c r="F26" t="s">
        <v>36</v>
      </c>
      <c r="G26">
        <v>137</v>
      </c>
      <c r="H26" t="s">
        <v>25</v>
      </c>
      <c r="I26" t="s">
        <v>24</v>
      </c>
      <c r="J26" s="2">
        <v>13035</v>
      </c>
      <c r="K26">
        <v>224</v>
      </c>
      <c r="L26">
        <v>0</v>
      </c>
      <c r="M26" t="s">
        <v>24</v>
      </c>
      <c r="N26" s="3">
        <v>0.17</v>
      </c>
      <c r="O26">
        <v>7</v>
      </c>
      <c r="P26" t="s">
        <v>24</v>
      </c>
      <c r="Q26">
        <f>VLOOKUP(D26,Segment_Lookup!$A$2:$D$9,4,FALSE)</f>
        <v>14</v>
      </c>
      <c r="R26" s="4">
        <f t="shared" si="0"/>
        <v>79</v>
      </c>
      <c r="S26" t="str">
        <f t="shared" si="1"/>
        <v>High</v>
      </c>
      <c r="T26" t="str">
        <f t="shared" si="2"/>
        <v>Outbound call</v>
      </c>
    </row>
    <row r="27" spans="1:20">
      <c r="A27">
        <v>200026</v>
      </c>
      <c r="B27" t="s">
        <v>71</v>
      </c>
      <c r="C27" t="s">
        <v>41</v>
      </c>
      <c r="D27" t="s">
        <v>35</v>
      </c>
      <c r="E27" t="s">
        <v>39</v>
      </c>
      <c r="F27" t="s">
        <v>72</v>
      </c>
      <c r="G27">
        <v>169</v>
      </c>
      <c r="H27" t="s">
        <v>25</v>
      </c>
      <c r="I27" t="s">
        <v>25</v>
      </c>
      <c r="J27" s="2">
        <v>25840</v>
      </c>
      <c r="K27">
        <v>72</v>
      </c>
      <c r="L27">
        <v>0</v>
      </c>
      <c r="M27" t="s">
        <v>24</v>
      </c>
      <c r="N27" s="3">
        <v>0.57999999999999996</v>
      </c>
      <c r="O27">
        <v>8</v>
      </c>
      <c r="P27" t="s">
        <v>24</v>
      </c>
      <c r="Q27">
        <f>VLOOKUP(D27,Segment_Lookup!$A$2:$D$9,4,FALSE)</f>
        <v>5</v>
      </c>
      <c r="R27" s="4">
        <f t="shared" si="0"/>
        <v>78</v>
      </c>
      <c r="S27" t="str">
        <f t="shared" si="1"/>
        <v>High</v>
      </c>
      <c r="T27" t="str">
        <f t="shared" si="2"/>
        <v>Outbound call</v>
      </c>
    </row>
    <row r="28" spans="1:20">
      <c r="A28">
        <v>200027</v>
      </c>
      <c r="B28" t="s">
        <v>73</v>
      </c>
      <c r="C28" t="s">
        <v>31</v>
      </c>
      <c r="D28" t="s">
        <v>38</v>
      </c>
      <c r="E28" t="s">
        <v>61</v>
      </c>
      <c r="F28" t="s">
        <v>33</v>
      </c>
      <c r="G28">
        <v>56</v>
      </c>
      <c r="H28" t="s">
        <v>25</v>
      </c>
      <c r="I28" t="s">
        <v>24</v>
      </c>
      <c r="J28" s="2">
        <v>26269</v>
      </c>
      <c r="K28">
        <v>81</v>
      </c>
      <c r="L28">
        <v>0</v>
      </c>
      <c r="M28" t="s">
        <v>24</v>
      </c>
      <c r="N28" s="3">
        <v>0.1</v>
      </c>
      <c r="O28">
        <v>9</v>
      </c>
      <c r="P28" t="s">
        <v>25</v>
      </c>
      <c r="Q28">
        <f>VLOOKUP(D28,Segment_Lookup!$A$2:$D$9,4,FALSE)</f>
        <v>14</v>
      </c>
      <c r="R28" s="4">
        <f t="shared" si="0"/>
        <v>102</v>
      </c>
      <c r="S28" t="str">
        <f t="shared" si="1"/>
        <v>Very High</v>
      </c>
      <c r="T28" t="str">
        <f t="shared" si="2"/>
        <v>Priority outbound call</v>
      </c>
    </row>
    <row r="29" spans="1:20">
      <c r="A29">
        <v>200028</v>
      </c>
      <c r="B29" t="s">
        <v>74</v>
      </c>
      <c r="C29" t="s">
        <v>31</v>
      </c>
      <c r="D29" t="s">
        <v>54</v>
      </c>
      <c r="E29" t="s">
        <v>45</v>
      </c>
      <c r="F29" t="s">
        <v>52</v>
      </c>
      <c r="G29">
        <v>221</v>
      </c>
      <c r="H29" t="s">
        <v>25</v>
      </c>
      <c r="I29" t="s">
        <v>24</v>
      </c>
      <c r="J29" s="2">
        <v>11319</v>
      </c>
      <c r="K29">
        <v>160</v>
      </c>
      <c r="L29">
        <v>0</v>
      </c>
      <c r="M29" t="s">
        <v>24</v>
      </c>
      <c r="N29" s="3">
        <v>0.61</v>
      </c>
      <c r="O29">
        <v>4</v>
      </c>
      <c r="P29" t="s">
        <v>24</v>
      </c>
      <c r="Q29">
        <f>VLOOKUP(D29,Segment_Lookup!$A$2:$D$9,4,FALSE)</f>
        <v>15</v>
      </c>
      <c r="R29" s="4">
        <f t="shared" si="0"/>
        <v>80</v>
      </c>
      <c r="S29" t="str">
        <f t="shared" si="1"/>
        <v>High</v>
      </c>
      <c r="T29" t="str">
        <f t="shared" si="2"/>
        <v>Outbound call</v>
      </c>
    </row>
    <row r="30" spans="1:20">
      <c r="A30">
        <v>200029</v>
      </c>
      <c r="B30" t="s">
        <v>75</v>
      </c>
      <c r="C30" t="s">
        <v>20</v>
      </c>
      <c r="D30" t="s">
        <v>27</v>
      </c>
      <c r="E30" t="s">
        <v>61</v>
      </c>
      <c r="F30" t="s">
        <v>36</v>
      </c>
      <c r="G30">
        <v>216</v>
      </c>
      <c r="H30" t="s">
        <v>24</v>
      </c>
      <c r="I30" t="s">
        <v>24</v>
      </c>
      <c r="J30" s="2">
        <v>25014</v>
      </c>
      <c r="K30">
        <v>232</v>
      </c>
      <c r="L30">
        <v>0</v>
      </c>
      <c r="M30" t="s">
        <v>24</v>
      </c>
      <c r="N30" s="3">
        <v>0.35</v>
      </c>
      <c r="O30">
        <v>0</v>
      </c>
      <c r="P30" t="s">
        <v>24</v>
      </c>
      <c r="Q30">
        <f>VLOOKUP(D30,Segment_Lookup!$A$2:$D$9,4,FALSE)</f>
        <v>8</v>
      </c>
      <c r="R30" s="4">
        <f t="shared" si="0"/>
        <v>43</v>
      </c>
      <c r="S30" t="str">
        <f t="shared" si="1"/>
        <v>Medium</v>
      </c>
      <c r="T30" t="str">
        <f t="shared" si="2"/>
        <v>Digital nurture</v>
      </c>
    </row>
    <row r="31" spans="1:20">
      <c r="A31">
        <v>200030</v>
      </c>
      <c r="B31" t="s">
        <v>76</v>
      </c>
      <c r="C31" t="s">
        <v>56</v>
      </c>
      <c r="D31" t="s">
        <v>32</v>
      </c>
      <c r="E31" t="s">
        <v>39</v>
      </c>
      <c r="F31" t="s">
        <v>47</v>
      </c>
      <c r="G31">
        <v>346</v>
      </c>
      <c r="H31" t="s">
        <v>25</v>
      </c>
      <c r="I31" t="s">
        <v>24</v>
      </c>
      <c r="J31" s="2">
        <v>26584</v>
      </c>
      <c r="K31">
        <v>189</v>
      </c>
      <c r="L31">
        <v>0</v>
      </c>
      <c r="M31" t="s">
        <v>25</v>
      </c>
      <c r="N31" s="3">
        <v>0.44</v>
      </c>
      <c r="O31">
        <v>10</v>
      </c>
      <c r="P31" t="s">
        <v>24</v>
      </c>
      <c r="Q31">
        <f>VLOOKUP(D31,Segment_Lookup!$A$2:$D$9,4,FALSE)</f>
        <v>13</v>
      </c>
      <c r="R31" s="4">
        <f t="shared" si="0"/>
        <v>88</v>
      </c>
      <c r="S31" t="str">
        <f t="shared" si="1"/>
        <v>Very High</v>
      </c>
      <c r="T31" t="str">
        <f t="shared" si="2"/>
        <v>Priority outbound call</v>
      </c>
    </row>
    <row r="32" spans="1:20">
      <c r="A32">
        <v>200031</v>
      </c>
      <c r="B32" t="s">
        <v>77</v>
      </c>
      <c r="C32" t="s">
        <v>31</v>
      </c>
      <c r="D32" t="s">
        <v>21</v>
      </c>
      <c r="E32" t="s">
        <v>78</v>
      </c>
      <c r="F32" t="s">
        <v>23</v>
      </c>
      <c r="G32">
        <v>13</v>
      </c>
      <c r="H32" t="s">
        <v>25</v>
      </c>
      <c r="I32" t="s">
        <v>24</v>
      </c>
      <c r="J32" s="2">
        <v>20530</v>
      </c>
      <c r="K32">
        <v>218</v>
      </c>
      <c r="L32">
        <v>1</v>
      </c>
      <c r="M32" t="s">
        <v>24</v>
      </c>
      <c r="N32" s="3">
        <v>0.75</v>
      </c>
      <c r="O32">
        <v>9</v>
      </c>
      <c r="P32" t="s">
        <v>25</v>
      </c>
      <c r="Q32">
        <f>VLOOKUP(D32,Segment_Lookup!$A$2:$D$9,4,FALSE)</f>
        <v>10</v>
      </c>
      <c r="R32" s="4">
        <f t="shared" si="0"/>
        <v>100</v>
      </c>
      <c r="S32" t="str">
        <f t="shared" si="1"/>
        <v>Very High</v>
      </c>
      <c r="T32" t="str">
        <f t="shared" si="2"/>
        <v>Priority outbound call</v>
      </c>
    </row>
    <row r="33" spans="1:20">
      <c r="A33">
        <v>200032</v>
      </c>
      <c r="B33" t="s">
        <v>79</v>
      </c>
      <c r="C33" t="s">
        <v>20</v>
      </c>
      <c r="D33" t="s">
        <v>27</v>
      </c>
      <c r="E33" t="s">
        <v>45</v>
      </c>
      <c r="F33" t="s">
        <v>33</v>
      </c>
      <c r="G33">
        <v>55</v>
      </c>
      <c r="H33" t="s">
        <v>24</v>
      </c>
      <c r="I33" t="s">
        <v>24</v>
      </c>
      <c r="J33" s="2">
        <v>26849</v>
      </c>
      <c r="K33">
        <v>179</v>
      </c>
      <c r="L33">
        <v>0</v>
      </c>
      <c r="M33" t="s">
        <v>25</v>
      </c>
      <c r="N33" s="3">
        <v>0.21</v>
      </c>
      <c r="O33">
        <v>1</v>
      </c>
      <c r="P33" t="s">
        <v>24</v>
      </c>
      <c r="Q33">
        <f>VLOOKUP(D33,Segment_Lookup!$A$2:$D$9,4,FALSE)</f>
        <v>8</v>
      </c>
      <c r="R33" s="4">
        <f t="shared" si="0"/>
        <v>78</v>
      </c>
      <c r="S33" t="str">
        <f t="shared" si="1"/>
        <v>High</v>
      </c>
      <c r="T33" t="str">
        <f t="shared" si="2"/>
        <v>Outbound call</v>
      </c>
    </row>
    <row r="34" spans="1:20">
      <c r="A34">
        <v>200033</v>
      </c>
      <c r="B34" t="s">
        <v>80</v>
      </c>
      <c r="C34" t="s">
        <v>41</v>
      </c>
      <c r="D34" t="s">
        <v>67</v>
      </c>
      <c r="E34" t="s">
        <v>28</v>
      </c>
      <c r="F34" t="s">
        <v>58</v>
      </c>
      <c r="G34">
        <v>229</v>
      </c>
      <c r="H34" t="s">
        <v>24</v>
      </c>
      <c r="I34" t="s">
        <v>24</v>
      </c>
      <c r="J34" s="2">
        <v>16054</v>
      </c>
      <c r="K34">
        <v>116</v>
      </c>
      <c r="L34">
        <v>0</v>
      </c>
      <c r="M34" t="s">
        <v>25</v>
      </c>
      <c r="N34" s="3">
        <v>0.54</v>
      </c>
      <c r="O34">
        <v>12</v>
      </c>
      <c r="P34" t="s">
        <v>24</v>
      </c>
      <c r="Q34">
        <f>VLOOKUP(D34,Segment_Lookup!$A$2:$D$9,4,FALSE)</f>
        <v>7</v>
      </c>
      <c r="R34" s="4">
        <f t="shared" ref="R34:R65" si="3">IF(G34&lt;=30,30,IF(G34&lt;=90,20,IF(G34&lt;=180,10,0)))+IF(H34="Yes",15,0)+IF(I34="Yes",-15,0)+IF(J34&gt;=15000,25,IF(J34&gt;=10000,20,IF(J34&gt;=5000,10,0)))+IF(K34&lt;=30,15,IF(K34&lt;=90,8,0))+IF(L34=0,10,IF(L34&gt;=2,-20,0))+IF(M34="Yes",15,0)+IF(N34&gt;=0.5,10,0)+IF(O34&gt;=3,10,0)+Q34</f>
        <v>77</v>
      </c>
      <c r="S34" t="str">
        <f t="shared" ref="S34:S65" si="4">IF(R34&gt;=85,"Very High",IF(R34&gt;=65,"High",IF(R34&gt;=40,"Medium","Low")))</f>
        <v>High</v>
      </c>
      <c r="T34" t="str">
        <f t="shared" ref="T34:T65" si="5">IF(S34="Very High","Priority outbound call",IF(S34="High","Outbound call",IF(AND(S34="Medium",N34&gt;=0.4),"Email then call","Digital nurture")))</f>
        <v>Outbound call</v>
      </c>
    </row>
    <row r="35" spans="1:20">
      <c r="A35">
        <v>200034</v>
      </c>
      <c r="B35" t="s">
        <v>81</v>
      </c>
      <c r="C35" t="s">
        <v>20</v>
      </c>
      <c r="D35" t="s">
        <v>21</v>
      </c>
      <c r="E35" t="s">
        <v>78</v>
      </c>
      <c r="F35" t="s">
        <v>82</v>
      </c>
      <c r="G35">
        <v>121</v>
      </c>
      <c r="H35" t="s">
        <v>25</v>
      </c>
      <c r="I35" t="s">
        <v>24</v>
      </c>
      <c r="J35" s="2">
        <v>18199</v>
      </c>
      <c r="K35">
        <v>21</v>
      </c>
      <c r="L35">
        <v>0</v>
      </c>
      <c r="M35" t="s">
        <v>25</v>
      </c>
      <c r="N35" s="3">
        <v>0.59</v>
      </c>
      <c r="O35">
        <v>11</v>
      </c>
      <c r="P35" t="s">
        <v>24</v>
      </c>
      <c r="Q35">
        <f>VLOOKUP(D35,Segment_Lookup!$A$2:$D$9,4,FALSE)</f>
        <v>10</v>
      </c>
      <c r="R35" s="4">
        <f t="shared" si="3"/>
        <v>120</v>
      </c>
      <c r="S35" t="str">
        <f t="shared" si="4"/>
        <v>Very High</v>
      </c>
      <c r="T35" t="str">
        <f t="shared" si="5"/>
        <v>Priority outbound call</v>
      </c>
    </row>
    <row r="36" spans="1:20">
      <c r="A36">
        <v>200035</v>
      </c>
      <c r="B36" t="s">
        <v>83</v>
      </c>
      <c r="C36" t="s">
        <v>20</v>
      </c>
      <c r="D36" t="s">
        <v>67</v>
      </c>
      <c r="E36" t="s">
        <v>61</v>
      </c>
      <c r="F36" t="s">
        <v>36</v>
      </c>
      <c r="G36">
        <v>216</v>
      </c>
      <c r="H36" t="s">
        <v>25</v>
      </c>
      <c r="I36" t="s">
        <v>24</v>
      </c>
      <c r="J36" s="2">
        <v>23290</v>
      </c>
      <c r="K36">
        <v>6</v>
      </c>
      <c r="L36">
        <v>2</v>
      </c>
      <c r="M36" t="s">
        <v>24</v>
      </c>
      <c r="N36" s="3">
        <v>0.32</v>
      </c>
      <c r="O36">
        <v>0</v>
      </c>
      <c r="P36" t="s">
        <v>24</v>
      </c>
      <c r="Q36">
        <f>VLOOKUP(D36,Segment_Lookup!$A$2:$D$9,4,FALSE)</f>
        <v>7</v>
      </c>
      <c r="R36" s="4">
        <f t="shared" si="3"/>
        <v>42</v>
      </c>
      <c r="S36" t="str">
        <f t="shared" si="4"/>
        <v>Medium</v>
      </c>
      <c r="T36" t="str">
        <f t="shared" si="5"/>
        <v>Digital nurture</v>
      </c>
    </row>
    <row r="37" spans="1:20">
      <c r="A37">
        <v>200036</v>
      </c>
      <c r="B37" t="s">
        <v>37</v>
      </c>
      <c r="C37" t="s">
        <v>56</v>
      </c>
      <c r="D37" t="s">
        <v>27</v>
      </c>
      <c r="E37" t="s">
        <v>45</v>
      </c>
      <c r="F37" t="s">
        <v>47</v>
      </c>
      <c r="G37">
        <v>113</v>
      </c>
      <c r="H37" t="s">
        <v>25</v>
      </c>
      <c r="I37" t="s">
        <v>24</v>
      </c>
      <c r="J37" s="2">
        <v>13242</v>
      </c>
      <c r="K37">
        <v>87</v>
      </c>
      <c r="L37">
        <v>1</v>
      </c>
      <c r="M37" t="s">
        <v>24</v>
      </c>
      <c r="N37" s="3">
        <v>0.62</v>
      </c>
      <c r="O37">
        <v>7</v>
      </c>
      <c r="P37" t="s">
        <v>24</v>
      </c>
      <c r="Q37">
        <f>VLOOKUP(D37,Segment_Lookup!$A$2:$D$9,4,FALSE)</f>
        <v>8</v>
      </c>
      <c r="R37" s="4">
        <f t="shared" si="3"/>
        <v>81</v>
      </c>
      <c r="S37" t="str">
        <f t="shared" si="4"/>
        <v>High</v>
      </c>
      <c r="T37" t="str">
        <f t="shared" si="5"/>
        <v>Outbound call</v>
      </c>
    </row>
    <row r="38" spans="1:20">
      <c r="A38">
        <v>200037</v>
      </c>
      <c r="B38" t="s">
        <v>84</v>
      </c>
      <c r="C38" t="s">
        <v>41</v>
      </c>
      <c r="D38" t="s">
        <v>27</v>
      </c>
      <c r="E38" t="s">
        <v>39</v>
      </c>
      <c r="F38" t="s">
        <v>50</v>
      </c>
      <c r="G38">
        <v>330</v>
      </c>
      <c r="H38" t="s">
        <v>25</v>
      </c>
      <c r="I38" t="s">
        <v>24</v>
      </c>
      <c r="J38" s="2">
        <v>6454</v>
      </c>
      <c r="K38">
        <v>13</v>
      </c>
      <c r="L38">
        <v>0</v>
      </c>
      <c r="M38" t="s">
        <v>24</v>
      </c>
      <c r="N38" s="3">
        <v>0.39</v>
      </c>
      <c r="O38">
        <v>5</v>
      </c>
      <c r="P38" t="s">
        <v>24</v>
      </c>
      <c r="Q38">
        <f>VLOOKUP(D38,Segment_Lookup!$A$2:$D$9,4,FALSE)</f>
        <v>8</v>
      </c>
      <c r="R38" s="4">
        <f t="shared" si="3"/>
        <v>68</v>
      </c>
      <c r="S38" t="str">
        <f t="shared" si="4"/>
        <v>High</v>
      </c>
      <c r="T38" t="str">
        <f t="shared" si="5"/>
        <v>Outbound call</v>
      </c>
    </row>
    <row r="39" spans="1:20">
      <c r="A39">
        <v>200038</v>
      </c>
      <c r="B39" t="s">
        <v>49</v>
      </c>
      <c r="C39" t="s">
        <v>56</v>
      </c>
      <c r="D39" t="s">
        <v>21</v>
      </c>
      <c r="E39" t="s">
        <v>45</v>
      </c>
      <c r="F39" t="s">
        <v>33</v>
      </c>
      <c r="G39">
        <v>277</v>
      </c>
      <c r="H39" t="s">
        <v>25</v>
      </c>
      <c r="I39" t="s">
        <v>24</v>
      </c>
      <c r="J39" s="2">
        <v>7847</v>
      </c>
      <c r="K39">
        <v>167</v>
      </c>
      <c r="L39">
        <v>0</v>
      </c>
      <c r="M39" t="s">
        <v>24</v>
      </c>
      <c r="N39" s="3">
        <v>0.03</v>
      </c>
      <c r="O39">
        <v>0</v>
      </c>
      <c r="P39" t="s">
        <v>24</v>
      </c>
      <c r="Q39">
        <f>VLOOKUP(D39,Segment_Lookup!$A$2:$D$9,4,FALSE)</f>
        <v>10</v>
      </c>
      <c r="R39" s="4">
        <f t="shared" si="3"/>
        <v>45</v>
      </c>
      <c r="S39" t="str">
        <f t="shared" si="4"/>
        <v>Medium</v>
      </c>
      <c r="T39" t="str">
        <f t="shared" si="5"/>
        <v>Digital nurture</v>
      </c>
    </row>
    <row r="40" spans="1:20">
      <c r="A40">
        <v>200039</v>
      </c>
      <c r="B40" t="s">
        <v>79</v>
      </c>
      <c r="C40" t="s">
        <v>31</v>
      </c>
      <c r="D40" t="s">
        <v>38</v>
      </c>
      <c r="E40" t="s">
        <v>22</v>
      </c>
      <c r="F40" t="s">
        <v>47</v>
      </c>
      <c r="G40">
        <v>343</v>
      </c>
      <c r="H40" t="s">
        <v>25</v>
      </c>
      <c r="I40" t="s">
        <v>24</v>
      </c>
      <c r="J40" s="2">
        <v>15738</v>
      </c>
      <c r="K40">
        <v>180</v>
      </c>
      <c r="L40">
        <v>0</v>
      </c>
      <c r="M40" t="s">
        <v>24</v>
      </c>
      <c r="N40" s="3">
        <v>0.52</v>
      </c>
      <c r="O40">
        <v>11</v>
      </c>
      <c r="P40" t="s">
        <v>24</v>
      </c>
      <c r="Q40">
        <f>VLOOKUP(D40,Segment_Lookup!$A$2:$D$9,4,FALSE)</f>
        <v>14</v>
      </c>
      <c r="R40" s="4">
        <f t="shared" si="3"/>
        <v>84</v>
      </c>
      <c r="S40" t="str">
        <f t="shared" si="4"/>
        <v>High</v>
      </c>
      <c r="T40" t="str">
        <f t="shared" si="5"/>
        <v>Outbound call</v>
      </c>
    </row>
    <row r="41" spans="1:20">
      <c r="A41">
        <v>200040</v>
      </c>
      <c r="B41" t="s">
        <v>85</v>
      </c>
      <c r="C41" t="s">
        <v>20</v>
      </c>
      <c r="D41" t="s">
        <v>21</v>
      </c>
      <c r="E41" t="s">
        <v>78</v>
      </c>
      <c r="F41" t="s">
        <v>82</v>
      </c>
      <c r="G41">
        <v>295</v>
      </c>
      <c r="H41" t="s">
        <v>24</v>
      </c>
      <c r="I41" t="s">
        <v>24</v>
      </c>
      <c r="J41" s="2">
        <v>13497</v>
      </c>
      <c r="K41">
        <v>184</v>
      </c>
      <c r="L41">
        <v>0</v>
      </c>
      <c r="M41" t="s">
        <v>24</v>
      </c>
      <c r="N41" s="3">
        <v>0.71</v>
      </c>
      <c r="O41">
        <v>3</v>
      </c>
      <c r="P41" t="s">
        <v>25</v>
      </c>
      <c r="Q41">
        <f>VLOOKUP(D41,Segment_Lookup!$A$2:$D$9,4,FALSE)</f>
        <v>10</v>
      </c>
      <c r="R41" s="4">
        <f t="shared" si="3"/>
        <v>60</v>
      </c>
      <c r="S41" t="str">
        <f t="shared" si="4"/>
        <v>Medium</v>
      </c>
      <c r="T41" t="str">
        <f t="shared" si="5"/>
        <v>Email then call</v>
      </c>
    </row>
    <row r="42" spans="1:20">
      <c r="A42">
        <v>200041</v>
      </c>
      <c r="B42" t="s">
        <v>86</v>
      </c>
      <c r="C42" t="s">
        <v>20</v>
      </c>
      <c r="D42" t="s">
        <v>44</v>
      </c>
      <c r="E42" t="s">
        <v>28</v>
      </c>
      <c r="F42" t="s">
        <v>52</v>
      </c>
      <c r="G42">
        <v>273</v>
      </c>
      <c r="H42" t="s">
        <v>25</v>
      </c>
      <c r="I42" t="s">
        <v>24</v>
      </c>
      <c r="J42" s="2">
        <v>17079</v>
      </c>
      <c r="K42">
        <v>166</v>
      </c>
      <c r="L42">
        <v>0</v>
      </c>
      <c r="M42" t="s">
        <v>24</v>
      </c>
      <c r="N42" s="3">
        <v>0.7</v>
      </c>
      <c r="O42">
        <v>1</v>
      </c>
      <c r="P42" t="s">
        <v>24</v>
      </c>
      <c r="Q42">
        <f>VLOOKUP(D42,Segment_Lookup!$A$2:$D$9,4,FALSE)</f>
        <v>12</v>
      </c>
      <c r="R42" s="4">
        <f t="shared" si="3"/>
        <v>72</v>
      </c>
      <c r="S42" t="str">
        <f t="shared" si="4"/>
        <v>High</v>
      </c>
      <c r="T42" t="str">
        <f t="shared" si="5"/>
        <v>Outbound call</v>
      </c>
    </row>
    <row r="43" spans="1:20">
      <c r="A43">
        <v>200042</v>
      </c>
      <c r="B43" t="s">
        <v>46</v>
      </c>
      <c r="C43" t="s">
        <v>56</v>
      </c>
      <c r="D43" t="s">
        <v>38</v>
      </c>
      <c r="E43" t="s">
        <v>45</v>
      </c>
      <c r="F43" t="s">
        <v>58</v>
      </c>
      <c r="G43">
        <v>334</v>
      </c>
      <c r="H43" t="s">
        <v>25</v>
      </c>
      <c r="I43" t="s">
        <v>24</v>
      </c>
      <c r="J43" s="2">
        <v>18134</v>
      </c>
      <c r="K43">
        <v>199</v>
      </c>
      <c r="L43">
        <v>0</v>
      </c>
      <c r="M43" t="s">
        <v>24</v>
      </c>
      <c r="N43" s="3">
        <v>0.62</v>
      </c>
      <c r="O43">
        <v>4</v>
      </c>
      <c r="P43" t="s">
        <v>24</v>
      </c>
      <c r="Q43">
        <f>VLOOKUP(D43,Segment_Lookup!$A$2:$D$9,4,FALSE)</f>
        <v>14</v>
      </c>
      <c r="R43" s="4">
        <f t="shared" si="3"/>
        <v>84</v>
      </c>
      <c r="S43" t="str">
        <f t="shared" si="4"/>
        <v>High</v>
      </c>
      <c r="T43" t="str">
        <f t="shared" si="5"/>
        <v>Outbound call</v>
      </c>
    </row>
    <row r="44" spans="1:20">
      <c r="A44">
        <v>200043</v>
      </c>
      <c r="B44" t="s">
        <v>87</v>
      </c>
      <c r="C44" t="s">
        <v>56</v>
      </c>
      <c r="D44" t="s">
        <v>21</v>
      </c>
      <c r="E44" t="s">
        <v>22</v>
      </c>
      <c r="F44" t="s">
        <v>47</v>
      </c>
      <c r="G44">
        <v>292</v>
      </c>
      <c r="H44" t="s">
        <v>25</v>
      </c>
      <c r="I44" t="s">
        <v>24</v>
      </c>
      <c r="J44" s="2">
        <v>1440</v>
      </c>
      <c r="K44">
        <v>127</v>
      </c>
      <c r="L44">
        <v>2</v>
      </c>
      <c r="M44" t="s">
        <v>25</v>
      </c>
      <c r="N44" s="3">
        <v>0.18</v>
      </c>
      <c r="O44">
        <v>12</v>
      </c>
      <c r="P44" t="s">
        <v>24</v>
      </c>
      <c r="Q44">
        <f>VLOOKUP(D44,Segment_Lookup!$A$2:$D$9,4,FALSE)</f>
        <v>10</v>
      </c>
      <c r="R44" s="4">
        <f t="shared" si="3"/>
        <v>30</v>
      </c>
      <c r="S44" t="str">
        <f t="shared" si="4"/>
        <v>Low</v>
      </c>
      <c r="T44" t="str">
        <f t="shared" si="5"/>
        <v>Digital nurture</v>
      </c>
    </row>
    <row r="45" spans="1:20">
      <c r="A45">
        <v>200044</v>
      </c>
      <c r="B45" t="s">
        <v>88</v>
      </c>
      <c r="C45" t="s">
        <v>56</v>
      </c>
      <c r="D45" t="s">
        <v>21</v>
      </c>
      <c r="E45" t="s">
        <v>39</v>
      </c>
      <c r="F45" t="s">
        <v>58</v>
      </c>
      <c r="G45">
        <v>98</v>
      </c>
      <c r="H45" t="s">
        <v>25</v>
      </c>
      <c r="I45" t="s">
        <v>24</v>
      </c>
      <c r="J45" s="2">
        <v>16509</v>
      </c>
      <c r="K45">
        <v>143</v>
      </c>
      <c r="L45">
        <v>1</v>
      </c>
      <c r="M45" t="s">
        <v>24</v>
      </c>
      <c r="N45" s="3">
        <v>0.55000000000000004</v>
      </c>
      <c r="O45">
        <v>7</v>
      </c>
      <c r="P45" t="s">
        <v>24</v>
      </c>
      <c r="Q45">
        <f>VLOOKUP(D45,Segment_Lookup!$A$2:$D$9,4,FALSE)</f>
        <v>10</v>
      </c>
      <c r="R45" s="4">
        <f t="shared" si="3"/>
        <v>80</v>
      </c>
      <c r="S45" t="str">
        <f t="shared" si="4"/>
        <v>High</v>
      </c>
      <c r="T45" t="str">
        <f t="shared" si="5"/>
        <v>Outbound call</v>
      </c>
    </row>
    <row r="46" spans="1:20">
      <c r="A46">
        <v>200045</v>
      </c>
      <c r="B46" t="s">
        <v>89</v>
      </c>
      <c r="C46" t="s">
        <v>31</v>
      </c>
      <c r="D46" t="s">
        <v>35</v>
      </c>
      <c r="E46" t="s">
        <v>61</v>
      </c>
      <c r="F46" t="s">
        <v>82</v>
      </c>
      <c r="G46">
        <v>340</v>
      </c>
      <c r="H46" t="s">
        <v>25</v>
      </c>
      <c r="I46" t="s">
        <v>24</v>
      </c>
      <c r="J46" s="2">
        <v>17897</v>
      </c>
      <c r="K46">
        <v>89</v>
      </c>
      <c r="L46">
        <v>0</v>
      </c>
      <c r="M46" t="s">
        <v>24</v>
      </c>
      <c r="N46" s="3">
        <v>0.28000000000000003</v>
      </c>
      <c r="O46">
        <v>11</v>
      </c>
      <c r="P46" t="s">
        <v>24</v>
      </c>
      <c r="Q46">
        <f>VLOOKUP(D46,Segment_Lookup!$A$2:$D$9,4,FALSE)</f>
        <v>5</v>
      </c>
      <c r="R46" s="4">
        <f t="shared" si="3"/>
        <v>73</v>
      </c>
      <c r="S46" t="str">
        <f t="shared" si="4"/>
        <v>High</v>
      </c>
      <c r="T46" t="str">
        <f t="shared" si="5"/>
        <v>Outbound call</v>
      </c>
    </row>
    <row r="47" spans="1:20">
      <c r="A47">
        <v>200046</v>
      </c>
      <c r="B47" t="s">
        <v>90</v>
      </c>
      <c r="C47" t="s">
        <v>56</v>
      </c>
      <c r="D47" t="s">
        <v>44</v>
      </c>
      <c r="E47" t="s">
        <v>78</v>
      </c>
      <c r="F47" t="s">
        <v>50</v>
      </c>
      <c r="G47">
        <v>275</v>
      </c>
      <c r="H47" t="s">
        <v>24</v>
      </c>
      <c r="I47" t="s">
        <v>24</v>
      </c>
      <c r="J47" s="2">
        <v>6776</v>
      </c>
      <c r="K47">
        <v>56</v>
      </c>
      <c r="L47">
        <v>1</v>
      </c>
      <c r="M47" t="s">
        <v>24</v>
      </c>
      <c r="N47" s="3">
        <v>0.5</v>
      </c>
      <c r="O47">
        <v>12</v>
      </c>
      <c r="P47" t="s">
        <v>24</v>
      </c>
      <c r="Q47">
        <f>VLOOKUP(D47,Segment_Lookup!$A$2:$D$9,4,FALSE)</f>
        <v>12</v>
      </c>
      <c r="R47" s="4">
        <f t="shared" si="3"/>
        <v>50</v>
      </c>
      <c r="S47" t="str">
        <f t="shared" si="4"/>
        <v>Medium</v>
      </c>
      <c r="T47" t="str">
        <f t="shared" si="5"/>
        <v>Email then call</v>
      </c>
    </row>
    <row r="48" spans="1:20">
      <c r="A48">
        <v>200047</v>
      </c>
      <c r="B48" t="s">
        <v>91</v>
      </c>
      <c r="C48" t="s">
        <v>56</v>
      </c>
      <c r="D48" t="s">
        <v>35</v>
      </c>
      <c r="E48" t="s">
        <v>22</v>
      </c>
      <c r="F48" t="s">
        <v>52</v>
      </c>
      <c r="G48">
        <v>92</v>
      </c>
      <c r="H48" t="s">
        <v>25</v>
      </c>
      <c r="I48" t="s">
        <v>24</v>
      </c>
      <c r="J48" s="2">
        <v>4647</v>
      </c>
      <c r="K48">
        <v>71</v>
      </c>
      <c r="L48">
        <v>0</v>
      </c>
      <c r="M48" t="s">
        <v>25</v>
      </c>
      <c r="N48" s="3">
        <v>0.25</v>
      </c>
      <c r="O48">
        <v>2</v>
      </c>
      <c r="P48" t="s">
        <v>24</v>
      </c>
      <c r="Q48">
        <f>VLOOKUP(D48,Segment_Lookup!$A$2:$D$9,4,FALSE)</f>
        <v>5</v>
      </c>
      <c r="R48" s="4">
        <f t="shared" si="3"/>
        <v>63</v>
      </c>
      <c r="S48" t="str">
        <f t="shared" si="4"/>
        <v>Medium</v>
      </c>
      <c r="T48" t="str">
        <f t="shared" si="5"/>
        <v>Digital nurture</v>
      </c>
    </row>
    <row r="49" spans="1:20">
      <c r="A49">
        <v>200048</v>
      </c>
      <c r="B49" t="s">
        <v>92</v>
      </c>
      <c r="C49" t="s">
        <v>20</v>
      </c>
      <c r="D49" t="s">
        <v>54</v>
      </c>
      <c r="E49" t="s">
        <v>22</v>
      </c>
      <c r="F49" t="s">
        <v>47</v>
      </c>
      <c r="G49">
        <v>246</v>
      </c>
      <c r="H49" t="s">
        <v>25</v>
      </c>
      <c r="I49" t="s">
        <v>24</v>
      </c>
      <c r="J49" s="2">
        <v>2183</v>
      </c>
      <c r="K49">
        <v>65</v>
      </c>
      <c r="L49">
        <v>3</v>
      </c>
      <c r="M49" t="s">
        <v>24</v>
      </c>
      <c r="N49" s="3">
        <v>0.7</v>
      </c>
      <c r="O49">
        <v>6</v>
      </c>
      <c r="P49" t="s">
        <v>24</v>
      </c>
      <c r="Q49">
        <f>VLOOKUP(D49,Segment_Lookup!$A$2:$D$9,4,FALSE)</f>
        <v>15</v>
      </c>
      <c r="R49" s="4">
        <f t="shared" si="3"/>
        <v>38</v>
      </c>
      <c r="S49" t="str">
        <f t="shared" si="4"/>
        <v>Low</v>
      </c>
      <c r="T49" t="str">
        <f t="shared" si="5"/>
        <v>Digital nurture</v>
      </c>
    </row>
    <row r="50" spans="1:20">
      <c r="A50">
        <v>200049</v>
      </c>
      <c r="B50" t="s">
        <v>93</v>
      </c>
      <c r="C50" t="s">
        <v>20</v>
      </c>
      <c r="D50" t="s">
        <v>54</v>
      </c>
      <c r="E50" t="s">
        <v>28</v>
      </c>
      <c r="F50" t="s">
        <v>29</v>
      </c>
      <c r="G50">
        <v>156</v>
      </c>
      <c r="H50" t="s">
        <v>25</v>
      </c>
      <c r="I50" t="s">
        <v>24</v>
      </c>
      <c r="J50" s="2">
        <v>18786</v>
      </c>
      <c r="K50">
        <v>196</v>
      </c>
      <c r="L50">
        <v>0</v>
      </c>
      <c r="M50" t="s">
        <v>24</v>
      </c>
      <c r="N50" s="3">
        <v>0.53</v>
      </c>
      <c r="O50">
        <v>12</v>
      </c>
      <c r="P50" t="s">
        <v>24</v>
      </c>
      <c r="Q50">
        <f>VLOOKUP(D50,Segment_Lookup!$A$2:$D$9,4,FALSE)</f>
        <v>15</v>
      </c>
      <c r="R50" s="4">
        <f t="shared" si="3"/>
        <v>95</v>
      </c>
      <c r="S50" t="str">
        <f t="shared" si="4"/>
        <v>Very High</v>
      </c>
      <c r="T50" t="str">
        <f t="shared" si="5"/>
        <v>Priority outbound call</v>
      </c>
    </row>
    <row r="51" spans="1:20">
      <c r="A51">
        <v>200050</v>
      </c>
      <c r="B51" t="s">
        <v>42</v>
      </c>
      <c r="C51" t="s">
        <v>20</v>
      </c>
      <c r="D51" t="s">
        <v>21</v>
      </c>
      <c r="E51" t="s">
        <v>45</v>
      </c>
      <c r="F51" t="s">
        <v>82</v>
      </c>
      <c r="G51">
        <v>292</v>
      </c>
      <c r="H51" t="s">
        <v>25</v>
      </c>
      <c r="I51" t="s">
        <v>24</v>
      </c>
      <c r="J51" s="2">
        <v>24751</v>
      </c>
      <c r="K51">
        <v>26</v>
      </c>
      <c r="L51">
        <v>3</v>
      </c>
      <c r="M51" t="s">
        <v>25</v>
      </c>
      <c r="N51" s="3">
        <v>0.18</v>
      </c>
      <c r="O51">
        <v>10</v>
      </c>
      <c r="P51" t="s">
        <v>25</v>
      </c>
      <c r="Q51">
        <f>VLOOKUP(D51,Segment_Lookup!$A$2:$D$9,4,FALSE)</f>
        <v>10</v>
      </c>
      <c r="R51" s="4">
        <f t="shared" si="3"/>
        <v>70</v>
      </c>
      <c r="S51" t="str">
        <f t="shared" si="4"/>
        <v>High</v>
      </c>
      <c r="T51" t="str">
        <f t="shared" si="5"/>
        <v>Outbound call</v>
      </c>
    </row>
    <row r="52" spans="1:20">
      <c r="A52">
        <v>200051</v>
      </c>
      <c r="B52" t="s">
        <v>94</v>
      </c>
      <c r="C52" t="s">
        <v>56</v>
      </c>
      <c r="D52" t="s">
        <v>44</v>
      </c>
      <c r="E52" t="s">
        <v>39</v>
      </c>
      <c r="F52" t="s">
        <v>72</v>
      </c>
      <c r="G52">
        <v>231</v>
      </c>
      <c r="H52" t="s">
        <v>24</v>
      </c>
      <c r="I52" t="s">
        <v>24</v>
      </c>
      <c r="J52" s="2">
        <v>1569</v>
      </c>
      <c r="K52">
        <v>60</v>
      </c>
      <c r="L52">
        <v>0</v>
      </c>
      <c r="M52" t="s">
        <v>24</v>
      </c>
      <c r="N52" s="3">
        <v>0.73</v>
      </c>
      <c r="O52">
        <v>1</v>
      </c>
      <c r="P52" t="s">
        <v>24</v>
      </c>
      <c r="Q52">
        <f>VLOOKUP(D52,Segment_Lookup!$A$2:$D$9,4,FALSE)</f>
        <v>12</v>
      </c>
      <c r="R52" s="4">
        <f t="shared" si="3"/>
        <v>40</v>
      </c>
      <c r="S52" t="str">
        <f t="shared" si="4"/>
        <v>Medium</v>
      </c>
      <c r="T52" t="str">
        <f t="shared" si="5"/>
        <v>Email then call</v>
      </c>
    </row>
    <row r="53" spans="1:20">
      <c r="A53">
        <v>200052</v>
      </c>
      <c r="B53" t="s">
        <v>95</v>
      </c>
      <c r="C53" t="s">
        <v>41</v>
      </c>
      <c r="D53" t="s">
        <v>27</v>
      </c>
      <c r="E53" t="s">
        <v>39</v>
      </c>
      <c r="F53" t="s">
        <v>23</v>
      </c>
      <c r="G53">
        <v>137</v>
      </c>
      <c r="H53" t="s">
        <v>24</v>
      </c>
      <c r="I53" t="s">
        <v>25</v>
      </c>
      <c r="J53" s="2">
        <v>5936</v>
      </c>
      <c r="K53">
        <v>203</v>
      </c>
      <c r="L53">
        <v>0</v>
      </c>
      <c r="M53" t="s">
        <v>24</v>
      </c>
      <c r="N53" s="3">
        <v>0.48</v>
      </c>
      <c r="O53">
        <v>4</v>
      </c>
      <c r="P53" t="s">
        <v>24</v>
      </c>
      <c r="Q53">
        <f>VLOOKUP(D53,Segment_Lookup!$A$2:$D$9,4,FALSE)</f>
        <v>8</v>
      </c>
      <c r="R53" s="4">
        <f t="shared" si="3"/>
        <v>33</v>
      </c>
      <c r="S53" t="str">
        <f t="shared" si="4"/>
        <v>Low</v>
      </c>
      <c r="T53" t="str">
        <f t="shared" si="5"/>
        <v>Digital nurture</v>
      </c>
    </row>
    <row r="54" spans="1:20">
      <c r="A54">
        <v>200053</v>
      </c>
      <c r="B54" t="s">
        <v>96</v>
      </c>
      <c r="C54" t="s">
        <v>20</v>
      </c>
      <c r="D54" t="s">
        <v>27</v>
      </c>
      <c r="E54" t="s">
        <v>61</v>
      </c>
      <c r="F54" t="s">
        <v>47</v>
      </c>
      <c r="G54">
        <v>42</v>
      </c>
      <c r="H54" t="s">
        <v>25</v>
      </c>
      <c r="I54" t="s">
        <v>24</v>
      </c>
      <c r="J54" s="2">
        <v>24569</v>
      </c>
      <c r="K54">
        <v>83</v>
      </c>
      <c r="L54">
        <v>1</v>
      </c>
      <c r="M54" t="s">
        <v>25</v>
      </c>
      <c r="N54" s="3">
        <v>0.19</v>
      </c>
      <c r="O54">
        <v>10</v>
      </c>
      <c r="P54" t="s">
        <v>24</v>
      </c>
      <c r="Q54">
        <f>VLOOKUP(D54,Segment_Lookup!$A$2:$D$9,4,FALSE)</f>
        <v>8</v>
      </c>
      <c r="R54" s="4">
        <f t="shared" si="3"/>
        <v>101</v>
      </c>
      <c r="S54" t="str">
        <f t="shared" si="4"/>
        <v>Very High</v>
      </c>
      <c r="T54" t="str">
        <f t="shared" si="5"/>
        <v>Priority outbound call</v>
      </c>
    </row>
    <row r="55" spans="1:20">
      <c r="A55">
        <v>200054</v>
      </c>
      <c r="B55" t="s">
        <v>86</v>
      </c>
      <c r="C55" t="s">
        <v>20</v>
      </c>
      <c r="D55" t="s">
        <v>21</v>
      </c>
      <c r="E55" t="s">
        <v>22</v>
      </c>
      <c r="F55" t="s">
        <v>23</v>
      </c>
      <c r="G55">
        <v>241</v>
      </c>
      <c r="H55" t="s">
        <v>25</v>
      </c>
      <c r="I55" t="s">
        <v>24</v>
      </c>
      <c r="J55" s="2">
        <v>9614</v>
      </c>
      <c r="K55">
        <v>47</v>
      </c>
      <c r="L55">
        <v>4</v>
      </c>
      <c r="M55" t="s">
        <v>24</v>
      </c>
      <c r="N55" s="3">
        <v>0.69</v>
      </c>
      <c r="O55">
        <v>1</v>
      </c>
      <c r="P55" t="s">
        <v>24</v>
      </c>
      <c r="Q55">
        <f>VLOOKUP(D55,Segment_Lookup!$A$2:$D$9,4,FALSE)</f>
        <v>10</v>
      </c>
      <c r="R55" s="4">
        <f t="shared" si="3"/>
        <v>33</v>
      </c>
      <c r="S55" t="str">
        <f t="shared" si="4"/>
        <v>Low</v>
      </c>
      <c r="T55" t="str">
        <f t="shared" si="5"/>
        <v>Digital nurture</v>
      </c>
    </row>
    <row r="56" spans="1:20">
      <c r="A56">
        <v>200055</v>
      </c>
      <c r="B56" t="s">
        <v>97</v>
      </c>
      <c r="C56" t="s">
        <v>20</v>
      </c>
      <c r="D56" t="s">
        <v>44</v>
      </c>
      <c r="E56" t="s">
        <v>61</v>
      </c>
      <c r="F56" t="s">
        <v>72</v>
      </c>
      <c r="G56">
        <v>356</v>
      </c>
      <c r="H56" t="s">
        <v>25</v>
      </c>
      <c r="I56" t="s">
        <v>24</v>
      </c>
      <c r="J56" s="2">
        <v>13622</v>
      </c>
      <c r="K56">
        <v>209</v>
      </c>
      <c r="L56">
        <v>1</v>
      </c>
      <c r="M56" t="s">
        <v>25</v>
      </c>
      <c r="N56" s="3">
        <v>7.0000000000000007E-2</v>
      </c>
      <c r="O56">
        <v>4</v>
      </c>
      <c r="P56" t="s">
        <v>24</v>
      </c>
      <c r="Q56">
        <f>VLOOKUP(D56,Segment_Lookup!$A$2:$D$9,4,FALSE)</f>
        <v>12</v>
      </c>
      <c r="R56" s="4">
        <f t="shared" si="3"/>
        <v>72</v>
      </c>
      <c r="S56" t="str">
        <f t="shared" si="4"/>
        <v>High</v>
      </c>
      <c r="T56" t="str">
        <f t="shared" si="5"/>
        <v>Outbound call</v>
      </c>
    </row>
    <row r="57" spans="1:20">
      <c r="A57">
        <v>200056</v>
      </c>
      <c r="B57" t="s">
        <v>98</v>
      </c>
      <c r="C57" t="s">
        <v>41</v>
      </c>
      <c r="D57" t="s">
        <v>54</v>
      </c>
      <c r="E57" t="s">
        <v>28</v>
      </c>
      <c r="F57" t="s">
        <v>72</v>
      </c>
      <c r="G57">
        <v>28</v>
      </c>
      <c r="H57" t="s">
        <v>25</v>
      </c>
      <c r="I57" t="s">
        <v>24</v>
      </c>
      <c r="J57" s="2">
        <v>25287</v>
      </c>
      <c r="K57">
        <v>128</v>
      </c>
      <c r="L57">
        <v>1</v>
      </c>
      <c r="M57" t="s">
        <v>24</v>
      </c>
      <c r="N57" s="3">
        <v>0.17</v>
      </c>
      <c r="O57">
        <v>8</v>
      </c>
      <c r="P57" t="s">
        <v>25</v>
      </c>
      <c r="Q57">
        <f>VLOOKUP(D57,Segment_Lookup!$A$2:$D$9,4,FALSE)</f>
        <v>15</v>
      </c>
      <c r="R57" s="4">
        <f t="shared" si="3"/>
        <v>95</v>
      </c>
      <c r="S57" t="str">
        <f t="shared" si="4"/>
        <v>Very High</v>
      </c>
      <c r="T57" t="str">
        <f t="shared" si="5"/>
        <v>Priority outbound call</v>
      </c>
    </row>
    <row r="58" spans="1:20">
      <c r="A58">
        <v>200057</v>
      </c>
      <c r="B58" t="s">
        <v>85</v>
      </c>
      <c r="C58" t="s">
        <v>56</v>
      </c>
      <c r="D58" t="s">
        <v>67</v>
      </c>
      <c r="E58" t="s">
        <v>28</v>
      </c>
      <c r="F58" t="s">
        <v>29</v>
      </c>
      <c r="G58">
        <v>123</v>
      </c>
      <c r="H58" t="s">
        <v>24</v>
      </c>
      <c r="I58" t="s">
        <v>24</v>
      </c>
      <c r="J58" s="2">
        <v>948</v>
      </c>
      <c r="K58">
        <v>142</v>
      </c>
      <c r="L58">
        <v>0</v>
      </c>
      <c r="M58" t="s">
        <v>25</v>
      </c>
      <c r="N58" s="3">
        <v>0.72</v>
      </c>
      <c r="O58">
        <v>1</v>
      </c>
      <c r="P58" t="s">
        <v>24</v>
      </c>
      <c r="Q58">
        <f>VLOOKUP(D58,Segment_Lookup!$A$2:$D$9,4,FALSE)</f>
        <v>7</v>
      </c>
      <c r="R58" s="4">
        <f t="shared" si="3"/>
        <v>52</v>
      </c>
      <c r="S58" t="str">
        <f t="shared" si="4"/>
        <v>Medium</v>
      </c>
      <c r="T58" t="str">
        <f t="shared" si="5"/>
        <v>Email then call</v>
      </c>
    </row>
    <row r="59" spans="1:20">
      <c r="A59">
        <v>200058</v>
      </c>
      <c r="B59" t="s">
        <v>99</v>
      </c>
      <c r="C59" t="s">
        <v>31</v>
      </c>
      <c r="D59" t="s">
        <v>67</v>
      </c>
      <c r="E59" t="s">
        <v>78</v>
      </c>
      <c r="F59" t="s">
        <v>72</v>
      </c>
      <c r="G59">
        <v>248</v>
      </c>
      <c r="H59" t="s">
        <v>24</v>
      </c>
      <c r="I59" t="s">
        <v>24</v>
      </c>
      <c r="J59" s="2">
        <v>18563</v>
      </c>
      <c r="K59">
        <v>38</v>
      </c>
      <c r="L59">
        <v>0</v>
      </c>
      <c r="M59" t="s">
        <v>24</v>
      </c>
      <c r="N59" s="3">
        <v>0.43</v>
      </c>
      <c r="O59">
        <v>2</v>
      </c>
      <c r="P59" t="s">
        <v>24</v>
      </c>
      <c r="Q59">
        <f>VLOOKUP(D59,Segment_Lookup!$A$2:$D$9,4,FALSE)</f>
        <v>7</v>
      </c>
      <c r="R59" s="4">
        <f t="shared" si="3"/>
        <v>50</v>
      </c>
      <c r="S59" t="str">
        <f t="shared" si="4"/>
        <v>Medium</v>
      </c>
      <c r="T59" t="str">
        <f t="shared" si="5"/>
        <v>Email then call</v>
      </c>
    </row>
    <row r="60" spans="1:20">
      <c r="A60">
        <v>200059</v>
      </c>
      <c r="B60" t="s">
        <v>100</v>
      </c>
      <c r="C60" t="s">
        <v>56</v>
      </c>
      <c r="D60" t="s">
        <v>32</v>
      </c>
      <c r="E60" t="s">
        <v>45</v>
      </c>
      <c r="F60" t="s">
        <v>33</v>
      </c>
      <c r="G60">
        <v>145</v>
      </c>
      <c r="H60" t="s">
        <v>24</v>
      </c>
      <c r="I60" t="s">
        <v>24</v>
      </c>
      <c r="J60" s="2">
        <v>19502</v>
      </c>
      <c r="K60">
        <v>169</v>
      </c>
      <c r="L60">
        <v>0</v>
      </c>
      <c r="M60" t="s">
        <v>25</v>
      </c>
      <c r="N60" s="3">
        <v>0.46</v>
      </c>
      <c r="O60">
        <v>5</v>
      </c>
      <c r="P60" t="s">
        <v>24</v>
      </c>
      <c r="Q60">
        <f>VLOOKUP(D60,Segment_Lookup!$A$2:$D$9,4,FALSE)</f>
        <v>13</v>
      </c>
      <c r="R60" s="4">
        <f t="shared" si="3"/>
        <v>83</v>
      </c>
      <c r="S60" t="str">
        <f t="shared" si="4"/>
        <v>High</v>
      </c>
      <c r="T60" t="str">
        <f t="shared" si="5"/>
        <v>Outbound call</v>
      </c>
    </row>
    <row r="61" spans="1:20">
      <c r="A61">
        <v>200060</v>
      </c>
      <c r="B61" t="s">
        <v>101</v>
      </c>
      <c r="C61" t="s">
        <v>20</v>
      </c>
      <c r="D61" t="s">
        <v>67</v>
      </c>
      <c r="E61" t="s">
        <v>45</v>
      </c>
      <c r="F61" t="s">
        <v>36</v>
      </c>
      <c r="G61">
        <v>293</v>
      </c>
      <c r="H61" t="s">
        <v>25</v>
      </c>
      <c r="I61" t="s">
        <v>24</v>
      </c>
      <c r="J61" s="2">
        <v>13960</v>
      </c>
      <c r="K61">
        <v>12</v>
      </c>
      <c r="L61">
        <v>0</v>
      </c>
      <c r="M61" t="s">
        <v>24</v>
      </c>
      <c r="N61" s="3">
        <v>0.78</v>
      </c>
      <c r="O61">
        <v>6</v>
      </c>
      <c r="P61" t="s">
        <v>24</v>
      </c>
      <c r="Q61">
        <f>VLOOKUP(D61,Segment_Lookup!$A$2:$D$9,4,FALSE)</f>
        <v>7</v>
      </c>
      <c r="R61" s="4">
        <f t="shared" si="3"/>
        <v>87</v>
      </c>
      <c r="S61" t="str">
        <f t="shared" si="4"/>
        <v>Very High</v>
      </c>
      <c r="T61" t="str">
        <f t="shared" si="5"/>
        <v>Priority outbound call</v>
      </c>
    </row>
    <row r="62" spans="1:20">
      <c r="A62">
        <v>200061</v>
      </c>
      <c r="B62" t="s">
        <v>102</v>
      </c>
      <c r="C62" t="s">
        <v>20</v>
      </c>
      <c r="D62" t="s">
        <v>38</v>
      </c>
      <c r="E62" t="s">
        <v>28</v>
      </c>
      <c r="F62" t="s">
        <v>23</v>
      </c>
      <c r="G62">
        <v>258</v>
      </c>
      <c r="H62" t="s">
        <v>24</v>
      </c>
      <c r="I62" t="s">
        <v>24</v>
      </c>
      <c r="J62" s="2">
        <v>3788</v>
      </c>
      <c r="K62">
        <v>224</v>
      </c>
      <c r="L62">
        <v>2</v>
      </c>
      <c r="M62" t="s">
        <v>25</v>
      </c>
      <c r="N62" s="3">
        <v>0.77</v>
      </c>
      <c r="O62">
        <v>0</v>
      </c>
      <c r="P62" t="s">
        <v>24</v>
      </c>
      <c r="Q62">
        <f>VLOOKUP(D62,Segment_Lookup!$A$2:$D$9,4,FALSE)</f>
        <v>14</v>
      </c>
      <c r="R62" s="4">
        <f t="shared" si="3"/>
        <v>19</v>
      </c>
      <c r="S62" t="str">
        <f t="shared" si="4"/>
        <v>Low</v>
      </c>
      <c r="T62" t="str">
        <f t="shared" si="5"/>
        <v>Digital nurture</v>
      </c>
    </row>
    <row r="63" spans="1:20">
      <c r="A63">
        <v>200062</v>
      </c>
      <c r="B63" t="s">
        <v>49</v>
      </c>
      <c r="C63" t="s">
        <v>20</v>
      </c>
      <c r="D63" t="s">
        <v>38</v>
      </c>
      <c r="E63" t="s">
        <v>28</v>
      </c>
      <c r="F63" t="s">
        <v>82</v>
      </c>
      <c r="G63">
        <v>174</v>
      </c>
      <c r="H63" t="s">
        <v>25</v>
      </c>
      <c r="I63" t="s">
        <v>24</v>
      </c>
      <c r="J63" s="2">
        <v>3131</v>
      </c>
      <c r="K63">
        <v>219</v>
      </c>
      <c r="L63">
        <v>0</v>
      </c>
      <c r="M63" t="s">
        <v>24</v>
      </c>
      <c r="N63" s="3">
        <v>0.45</v>
      </c>
      <c r="O63">
        <v>5</v>
      </c>
      <c r="P63" t="s">
        <v>24</v>
      </c>
      <c r="Q63">
        <f>VLOOKUP(D63,Segment_Lookup!$A$2:$D$9,4,FALSE)</f>
        <v>14</v>
      </c>
      <c r="R63" s="4">
        <f t="shared" si="3"/>
        <v>59</v>
      </c>
      <c r="S63" t="str">
        <f t="shared" si="4"/>
        <v>Medium</v>
      </c>
      <c r="T63" t="str">
        <f t="shared" si="5"/>
        <v>Email then call</v>
      </c>
    </row>
    <row r="64" spans="1:20">
      <c r="A64">
        <v>200063</v>
      </c>
      <c r="B64" t="s">
        <v>103</v>
      </c>
      <c r="C64" t="s">
        <v>41</v>
      </c>
      <c r="D64" t="s">
        <v>54</v>
      </c>
      <c r="E64" t="s">
        <v>28</v>
      </c>
      <c r="F64" t="s">
        <v>36</v>
      </c>
      <c r="G64">
        <v>324</v>
      </c>
      <c r="H64" t="s">
        <v>24</v>
      </c>
      <c r="I64" t="s">
        <v>24</v>
      </c>
      <c r="J64" s="2">
        <v>7954</v>
      </c>
      <c r="K64">
        <v>192</v>
      </c>
      <c r="L64">
        <v>0</v>
      </c>
      <c r="M64" t="s">
        <v>24</v>
      </c>
      <c r="N64" s="3">
        <v>0.65</v>
      </c>
      <c r="O64">
        <v>11</v>
      </c>
      <c r="P64" t="s">
        <v>24</v>
      </c>
      <c r="Q64">
        <f>VLOOKUP(D64,Segment_Lookup!$A$2:$D$9,4,FALSE)</f>
        <v>15</v>
      </c>
      <c r="R64" s="4">
        <f t="shared" si="3"/>
        <v>55</v>
      </c>
      <c r="S64" t="str">
        <f t="shared" si="4"/>
        <v>Medium</v>
      </c>
      <c r="T64" t="str">
        <f t="shared" si="5"/>
        <v>Email then call</v>
      </c>
    </row>
    <row r="65" spans="1:20">
      <c r="A65">
        <v>200064</v>
      </c>
      <c r="B65" t="s">
        <v>104</v>
      </c>
      <c r="C65" t="s">
        <v>20</v>
      </c>
      <c r="D65" t="s">
        <v>21</v>
      </c>
      <c r="E65" t="s">
        <v>28</v>
      </c>
      <c r="F65" t="s">
        <v>52</v>
      </c>
      <c r="G65">
        <v>29</v>
      </c>
      <c r="H65" t="s">
        <v>25</v>
      </c>
      <c r="I65" t="s">
        <v>24</v>
      </c>
      <c r="J65" s="2">
        <v>5270</v>
      </c>
      <c r="K65">
        <v>63</v>
      </c>
      <c r="L65">
        <v>0</v>
      </c>
      <c r="M65" t="s">
        <v>24</v>
      </c>
      <c r="N65" s="3">
        <v>0.67</v>
      </c>
      <c r="O65">
        <v>2</v>
      </c>
      <c r="P65" t="s">
        <v>25</v>
      </c>
      <c r="Q65">
        <f>VLOOKUP(D65,Segment_Lookup!$A$2:$D$9,4,FALSE)</f>
        <v>10</v>
      </c>
      <c r="R65" s="4">
        <f t="shared" si="3"/>
        <v>93</v>
      </c>
      <c r="S65" t="str">
        <f t="shared" si="4"/>
        <v>Very High</v>
      </c>
      <c r="T65" t="str">
        <f t="shared" si="5"/>
        <v>Priority outbound call</v>
      </c>
    </row>
    <row r="66" spans="1:20">
      <c r="A66">
        <v>200065</v>
      </c>
      <c r="B66" t="s">
        <v>105</v>
      </c>
      <c r="C66" t="s">
        <v>20</v>
      </c>
      <c r="D66" t="s">
        <v>35</v>
      </c>
      <c r="E66" t="s">
        <v>45</v>
      </c>
      <c r="F66" t="s">
        <v>36</v>
      </c>
      <c r="G66">
        <v>237</v>
      </c>
      <c r="H66" t="s">
        <v>25</v>
      </c>
      <c r="I66" t="s">
        <v>24</v>
      </c>
      <c r="J66" s="2">
        <v>22351</v>
      </c>
      <c r="K66">
        <v>3</v>
      </c>
      <c r="L66">
        <v>2</v>
      </c>
      <c r="M66" t="s">
        <v>24</v>
      </c>
      <c r="N66" s="3">
        <v>0.24</v>
      </c>
      <c r="O66">
        <v>8</v>
      </c>
      <c r="P66" t="s">
        <v>25</v>
      </c>
      <c r="Q66">
        <f>VLOOKUP(D66,Segment_Lookup!$A$2:$D$9,4,FALSE)</f>
        <v>5</v>
      </c>
      <c r="R66" s="4">
        <f t="shared" ref="R66:R97" si="6">IF(G66&lt;=30,30,IF(G66&lt;=90,20,IF(G66&lt;=180,10,0)))+IF(H66="Yes",15,0)+IF(I66="Yes",-15,0)+IF(J66&gt;=15000,25,IF(J66&gt;=10000,20,IF(J66&gt;=5000,10,0)))+IF(K66&lt;=30,15,IF(K66&lt;=90,8,0))+IF(L66=0,10,IF(L66&gt;=2,-20,0))+IF(M66="Yes",15,0)+IF(N66&gt;=0.5,10,0)+IF(O66&gt;=3,10,0)+Q66</f>
        <v>50</v>
      </c>
      <c r="S66" t="str">
        <f t="shared" ref="S66:S97" si="7">IF(R66&gt;=85,"Very High",IF(R66&gt;=65,"High",IF(R66&gt;=40,"Medium","Low")))</f>
        <v>Medium</v>
      </c>
      <c r="T66" t="str">
        <f t="shared" ref="T66:T97" si="8">IF(S66="Very High","Priority outbound call",IF(S66="High","Outbound call",IF(AND(S66="Medium",N66&gt;=0.4),"Email then call","Digital nurture")))</f>
        <v>Digital nurture</v>
      </c>
    </row>
    <row r="67" spans="1:20">
      <c r="A67">
        <v>200066</v>
      </c>
      <c r="B67" t="s">
        <v>106</v>
      </c>
      <c r="C67" t="s">
        <v>20</v>
      </c>
      <c r="D67" t="s">
        <v>21</v>
      </c>
      <c r="E67" t="s">
        <v>61</v>
      </c>
      <c r="F67" t="s">
        <v>47</v>
      </c>
      <c r="G67">
        <v>155</v>
      </c>
      <c r="H67" t="s">
        <v>25</v>
      </c>
      <c r="I67" t="s">
        <v>24</v>
      </c>
      <c r="J67" s="2">
        <v>16333</v>
      </c>
      <c r="K67">
        <v>28</v>
      </c>
      <c r="L67">
        <v>0</v>
      </c>
      <c r="M67" t="s">
        <v>24</v>
      </c>
      <c r="N67" s="3">
        <v>0.49</v>
      </c>
      <c r="O67">
        <v>11</v>
      </c>
      <c r="P67" t="s">
        <v>24</v>
      </c>
      <c r="Q67">
        <f>VLOOKUP(D67,Segment_Lookup!$A$2:$D$9,4,FALSE)</f>
        <v>10</v>
      </c>
      <c r="R67" s="4">
        <f t="shared" si="6"/>
        <v>95</v>
      </c>
      <c r="S67" t="str">
        <f t="shared" si="7"/>
        <v>Very High</v>
      </c>
      <c r="T67" t="str">
        <f t="shared" si="8"/>
        <v>Priority outbound call</v>
      </c>
    </row>
    <row r="68" spans="1:20">
      <c r="A68">
        <v>200067</v>
      </c>
      <c r="B68" t="s">
        <v>104</v>
      </c>
      <c r="C68" t="s">
        <v>41</v>
      </c>
      <c r="D68" t="s">
        <v>21</v>
      </c>
      <c r="E68" t="s">
        <v>28</v>
      </c>
      <c r="F68" t="s">
        <v>29</v>
      </c>
      <c r="G68">
        <v>255</v>
      </c>
      <c r="H68" t="s">
        <v>24</v>
      </c>
      <c r="I68" t="s">
        <v>24</v>
      </c>
      <c r="J68" s="2">
        <v>25919</v>
      </c>
      <c r="K68">
        <v>205</v>
      </c>
      <c r="L68">
        <v>0</v>
      </c>
      <c r="M68" t="s">
        <v>24</v>
      </c>
      <c r="N68" s="3">
        <v>0.19</v>
      </c>
      <c r="O68">
        <v>3</v>
      </c>
      <c r="P68" t="s">
        <v>24</v>
      </c>
      <c r="Q68">
        <f>VLOOKUP(D68,Segment_Lookup!$A$2:$D$9,4,FALSE)</f>
        <v>10</v>
      </c>
      <c r="R68" s="4">
        <f t="shared" si="6"/>
        <v>55</v>
      </c>
      <c r="S68" t="str">
        <f t="shared" si="7"/>
        <v>Medium</v>
      </c>
      <c r="T68" t="str">
        <f t="shared" si="8"/>
        <v>Digital nurture</v>
      </c>
    </row>
    <row r="69" spans="1:20">
      <c r="A69">
        <v>200068</v>
      </c>
      <c r="B69" t="s">
        <v>107</v>
      </c>
      <c r="C69" t="s">
        <v>20</v>
      </c>
      <c r="D69" t="s">
        <v>38</v>
      </c>
      <c r="E69" t="s">
        <v>28</v>
      </c>
      <c r="F69" t="s">
        <v>82</v>
      </c>
      <c r="G69">
        <v>226</v>
      </c>
      <c r="H69" t="s">
        <v>25</v>
      </c>
      <c r="I69" t="s">
        <v>24</v>
      </c>
      <c r="J69" s="2">
        <v>4806</v>
      </c>
      <c r="K69">
        <v>24</v>
      </c>
      <c r="L69">
        <v>3</v>
      </c>
      <c r="M69" t="s">
        <v>24</v>
      </c>
      <c r="N69" s="3">
        <v>0.35</v>
      </c>
      <c r="O69">
        <v>3</v>
      </c>
      <c r="P69" t="s">
        <v>25</v>
      </c>
      <c r="Q69">
        <f>VLOOKUP(D69,Segment_Lookup!$A$2:$D$9,4,FALSE)</f>
        <v>14</v>
      </c>
      <c r="R69" s="4">
        <f t="shared" si="6"/>
        <v>34</v>
      </c>
      <c r="S69" t="str">
        <f t="shared" si="7"/>
        <v>Low</v>
      </c>
      <c r="T69" t="str">
        <f t="shared" si="8"/>
        <v>Digital nurture</v>
      </c>
    </row>
    <row r="70" spans="1:20">
      <c r="A70">
        <v>200069</v>
      </c>
      <c r="B70" t="s">
        <v>108</v>
      </c>
      <c r="C70" t="s">
        <v>20</v>
      </c>
      <c r="D70" t="s">
        <v>21</v>
      </c>
      <c r="E70" t="s">
        <v>61</v>
      </c>
      <c r="F70" t="s">
        <v>47</v>
      </c>
      <c r="G70">
        <v>152</v>
      </c>
      <c r="H70" t="s">
        <v>24</v>
      </c>
      <c r="I70" t="s">
        <v>24</v>
      </c>
      <c r="J70" s="2">
        <v>4273</v>
      </c>
      <c r="K70">
        <v>120</v>
      </c>
      <c r="L70">
        <v>4</v>
      </c>
      <c r="M70" t="s">
        <v>25</v>
      </c>
      <c r="N70" s="3">
        <v>0.82</v>
      </c>
      <c r="O70">
        <v>10</v>
      </c>
      <c r="P70" t="s">
        <v>24</v>
      </c>
      <c r="Q70">
        <f>VLOOKUP(D70,Segment_Lookup!$A$2:$D$9,4,FALSE)</f>
        <v>10</v>
      </c>
      <c r="R70" s="4">
        <f t="shared" si="6"/>
        <v>35</v>
      </c>
      <c r="S70" t="str">
        <f t="shared" si="7"/>
        <v>Low</v>
      </c>
      <c r="T70" t="str">
        <f t="shared" si="8"/>
        <v>Digital nurture</v>
      </c>
    </row>
    <row r="71" spans="1:20">
      <c r="A71">
        <v>200070</v>
      </c>
      <c r="B71" t="s">
        <v>109</v>
      </c>
      <c r="C71" t="s">
        <v>41</v>
      </c>
      <c r="D71" t="s">
        <v>44</v>
      </c>
      <c r="E71" t="s">
        <v>28</v>
      </c>
      <c r="F71" t="s">
        <v>82</v>
      </c>
      <c r="G71">
        <v>275</v>
      </c>
      <c r="H71" t="s">
        <v>25</v>
      </c>
      <c r="I71" t="s">
        <v>24</v>
      </c>
      <c r="J71" s="2">
        <v>25043</v>
      </c>
      <c r="K71">
        <v>173</v>
      </c>
      <c r="L71">
        <v>0</v>
      </c>
      <c r="M71" t="s">
        <v>24</v>
      </c>
      <c r="N71" s="3">
        <v>0.54</v>
      </c>
      <c r="O71">
        <v>5</v>
      </c>
      <c r="P71" t="s">
        <v>25</v>
      </c>
      <c r="Q71">
        <f>VLOOKUP(D71,Segment_Lookup!$A$2:$D$9,4,FALSE)</f>
        <v>12</v>
      </c>
      <c r="R71" s="4">
        <f t="shared" si="6"/>
        <v>82</v>
      </c>
      <c r="S71" t="str">
        <f t="shared" si="7"/>
        <v>High</v>
      </c>
      <c r="T71" t="str">
        <f t="shared" si="8"/>
        <v>Outbound call</v>
      </c>
    </row>
    <row r="72" spans="1:20">
      <c r="A72">
        <v>200071</v>
      </c>
      <c r="B72" t="s">
        <v>110</v>
      </c>
      <c r="C72" t="s">
        <v>56</v>
      </c>
      <c r="D72" t="s">
        <v>32</v>
      </c>
      <c r="E72" t="s">
        <v>22</v>
      </c>
      <c r="F72" t="s">
        <v>50</v>
      </c>
      <c r="G72">
        <v>326</v>
      </c>
      <c r="H72" t="s">
        <v>24</v>
      </c>
      <c r="I72" t="s">
        <v>24</v>
      </c>
      <c r="J72" s="2">
        <v>10402</v>
      </c>
      <c r="K72">
        <v>167</v>
      </c>
      <c r="L72">
        <v>0</v>
      </c>
      <c r="M72" t="s">
        <v>25</v>
      </c>
      <c r="N72" s="3">
        <v>0.8</v>
      </c>
      <c r="O72">
        <v>4</v>
      </c>
      <c r="P72" t="s">
        <v>24</v>
      </c>
      <c r="Q72">
        <f>VLOOKUP(D72,Segment_Lookup!$A$2:$D$9,4,FALSE)</f>
        <v>13</v>
      </c>
      <c r="R72" s="4">
        <f t="shared" si="6"/>
        <v>78</v>
      </c>
      <c r="S72" t="str">
        <f t="shared" si="7"/>
        <v>High</v>
      </c>
      <c r="T72" t="str">
        <f t="shared" si="8"/>
        <v>Outbound call</v>
      </c>
    </row>
    <row r="73" spans="1:20">
      <c r="A73">
        <v>200072</v>
      </c>
      <c r="B73" t="s">
        <v>111</v>
      </c>
      <c r="C73" t="s">
        <v>31</v>
      </c>
      <c r="D73" t="s">
        <v>38</v>
      </c>
      <c r="E73" t="s">
        <v>78</v>
      </c>
      <c r="F73" t="s">
        <v>52</v>
      </c>
      <c r="G73">
        <v>344</v>
      </c>
      <c r="H73" t="s">
        <v>24</v>
      </c>
      <c r="I73" t="s">
        <v>24</v>
      </c>
      <c r="J73" s="2">
        <v>18201</v>
      </c>
      <c r="K73">
        <v>108</v>
      </c>
      <c r="L73">
        <v>1</v>
      </c>
      <c r="M73" t="s">
        <v>24</v>
      </c>
      <c r="N73" s="3">
        <v>0.75</v>
      </c>
      <c r="O73">
        <v>10</v>
      </c>
      <c r="P73" t="s">
        <v>25</v>
      </c>
      <c r="Q73">
        <f>VLOOKUP(D73,Segment_Lookup!$A$2:$D$9,4,FALSE)</f>
        <v>14</v>
      </c>
      <c r="R73" s="4">
        <f t="shared" si="6"/>
        <v>59</v>
      </c>
      <c r="S73" t="str">
        <f t="shared" si="7"/>
        <v>Medium</v>
      </c>
      <c r="T73" t="str">
        <f t="shared" si="8"/>
        <v>Email then call</v>
      </c>
    </row>
    <row r="74" spans="1:20">
      <c r="A74">
        <v>200073</v>
      </c>
      <c r="B74" t="s">
        <v>112</v>
      </c>
      <c r="C74" t="s">
        <v>20</v>
      </c>
      <c r="D74" t="s">
        <v>21</v>
      </c>
      <c r="E74" t="s">
        <v>45</v>
      </c>
      <c r="F74" t="s">
        <v>36</v>
      </c>
      <c r="G74">
        <v>228</v>
      </c>
      <c r="H74" t="s">
        <v>25</v>
      </c>
      <c r="I74" t="s">
        <v>24</v>
      </c>
      <c r="J74" s="2">
        <v>12384</v>
      </c>
      <c r="K74">
        <v>26</v>
      </c>
      <c r="L74">
        <v>4</v>
      </c>
      <c r="M74" t="s">
        <v>24</v>
      </c>
      <c r="N74" s="3">
        <v>0.77</v>
      </c>
      <c r="O74">
        <v>10</v>
      </c>
      <c r="P74" t="s">
        <v>24</v>
      </c>
      <c r="Q74">
        <f>VLOOKUP(D74,Segment_Lookup!$A$2:$D$9,4,FALSE)</f>
        <v>10</v>
      </c>
      <c r="R74" s="4">
        <f t="shared" si="6"/>
        <v>60</v>
      </c>
      <c r="S74" t="str">
        <f t="shared" si="7"/>
        <v>Medium</v>
      </c>
      <c r="T74" t="str">
        <f t="shared" si="8"/>
        <v>Email then call</v>
      </c>
    </row>
    <row r="75" spans="1:20">
      <c r="A75">
        <v>200074</v>
      </c>
      <c r="B75" t="s">
        <v>81</v>
      </c>
      <c r="C75" t="s">
        <v>56</v>
      </c>
      <c r="D75" t="s">
        <v>44</v>
      </c>
      <c r="E75" t="s">
        <v>78</v>
      </c>
      <c r="F75" t="s">
        <v>36</v>
      </c>
      <c r="G75">
        <v>329</v>
      </c>
      <c r="H75" t="s">
        <v>25</v>
      </c>
      <c r="I75" t="s">
        <v>24</v>
      </c>
      <c r="J75" s="2">
        <v>2157</v>
      </c>
      <c r="K75">
        <v>202</v>
      </c>
      <c r="L75">
        <v>0</v>
      </c>
      <c r="M75" t="s">
        <v>24</v>
      </c>
      <c r="N75" s="3">
        <v>0.67</v>
      </c>
      <c r="O75">
        <v>3</v>
      </c>
      <c r="P75" t="s">
        <v>25</v>
      </c>
      <c r="Q75">
        <f>VLOOKUP(D75,Segment_Lookup!$A$2:$D$9,4,FALSE)</f>
        <v>12</v>
      </c>
      <c r="R75" s="4">
        <f t="shared" si="6"/>
        <v>57</v>
      </c>
      <c r="S75" t="str">
        <f t="shared" si="7"/>
        <v>Medium</v>
      </c>
      <c r="T75" t="str">
        <f t="shared" si="8"/>
        <v>Email then call</v>
      </c>
    </row>
    <row r="76" spans="1:20">
      <c r="A76">
        <v>200075</v>
      </c>
      <c r="B76" t="s">
        <v>113</v>
      </c>
      <c r="C76" t="s">
        <v>20</v>
      </c>
      <c r="D76" t="s">
        <v>35</v>
      </c>
      <c r="E76" t="s">
        <v>78</v>
      </c>
      <c r="F76" t="s">
        <v>23</v>
      </c>
      <c r="G76">
        <v>306</v>
      </c>
      <c r="H76" t="s">
        <v>25</v>
      </c>
      <c r="I76" t="s">
        <v>24</v>
      </c>
      <c r="J76" s="2">
        <v>5241</v>
      </c>
      <c r="K76">
        <v>34</v>
      </c>
      <c r="L76">
        <v>0</v>
      </c>
      <c r="M76" t="s">
        <v>24</v>
      </c>
      <c r="N76" s="3">
        <v>0.09</v>
      </c>
      <c r="O76">
        <v>0</v>
      </c>
      <c r="P76" t="s">
        <v>25</v>
      </c>
      <c r="Q76">
        <f>VLOOKUP(D76,Segment_Lookup!$A$2:$D$9,4,FALSE)</f>
        <v>5</v>
      </c>
      <c r="R76" s="4">
        <f t="shared" si="6"/>
        <v>48</v>
      </c>
      <c r="S76" t="str">
        <f t="shared" si="7"/>
        <v>Medium</v>
      </c>
      <c r="T76" t="str">
        <f t="shared" si="8"/>
        <v>Digital nurture</v>
      </c>
    </row>
    <row r="77" spans="1:20">
      <c r="A77">
        <v>200076</v>
      </c>
      <c r="B77" t="s">
        <v>114</v>
      </c>
      <c r="C77" t="s">
        <v>56</v>
      </c>
      <c r="D77" t="s">
        <v>32</v>
      </c>
      <c r="E77" t="s">
        <v>78</v>
      </c>
      <c r="F77" t="s">
        <v>82</v>
      </c>
      <c r="G77">
        <v>27</v>
      </c>
      <c r="H77" t="s">
        <v>25</v>
      </c>
      <c r="I77" t="s">
        <v>24</v>
      </c>
      <c r="J77" s="2">
        <v>4224</v>
      </c>
      <c r="K77">
        <v>191</v>
      </c>
      <c r="L77">
        <v>0</v>
      </c>
      <c r="M77" t="s">
        <v>24</v>
      </c>
      <c r="N77" s="3">
        <v>0.31</v>
      </c>
      <c r="O77">
        <v>9</v>
      </c>
      <c r="P77" t="s">
        <v>25</v>
      </c>
      <c r="Q77">
        <f>VLOOKUP(D77,Segment_Lookup!$A$2:$D$9,4,FALSE)</f>
        <v>13</v>
      </c>
      <c r="R77" s="4">
        <f t="shared" si="6"/>
        <v>78</v>
      </c>
      <c r="S77" t="str">
        <f t="shared" si="7"/>
        <v>High</v>
      </c>
      <c r="T77" t="str">
        <f t="shared" si="8"/>
        <v>Outbound call</v>
      </c>
    </row>
    <row r="78" spans="1:20">
      <c r="A78">
        <v>200077</v>
      </c>
      <c r="B78" t="s">
        <v>115</v>
      </c>
      <c r="C78" t="s">
        <v>20</v>
      </c>
      <c r="D78" t="s">
        <v>54</v>
      </c>
      <c r="E78" t="s">
        <v>39</v>
      </c>
      <c r="F78" t="s">
        <v>47</v>
      </c>
      <c r="G78">
        <v>330</v>
      </c>
      <c r="H78" t="s">
        <v>24</v>
      </c>
      <c r="I78" t="s">
        <v>25</v>
      </c>
      <c r="J78" s="2">
        <v>16195</v>
      </c>
      <c r="K78">
        <v>217</v>
      </c>
      <c r="L78">
        <v>0</v>
      </c>
      <c r="M78" t="s">
        <v>24</v>
      </c>
      <c r="N78" s="3">
        <v>0.42</v>
      </c>
      <c r="O78">
        <v>7</v>
      </c>
      <c r="P78" t="s">
        <v>25</v>
      </c>
      <c r="Q78">
        <f>VLOOKUP(D78,Segment_Lookup!$A$2:$D$9,4,FALSE)</f>
        <v>15</v>
      </c>
      <c r="R78" s="4">
        <f t="shared" si="6"/>
        <v>45</v>
      </c>
      <c r="S78" t="str">
        <f t="shared" si="7"/>
        <v>Medium</v>
      </c>
      <c r="T78" t="str">
        <f t="shared" si="8"/>
        <v>Email then call</v>
      </c>
    </row>
    <row r="79" spans="1:20">
      <c r="A79">
        <v>200078</v>
      </c>
      <c r="B79" t="s">
        <v>116</v>
      </c>
      <c r="C79" t="s">
        <v>31</v>
      </c>
      <c r="D79" t="s">
        <v>38</v>
      </c>
      <c r="E79" t="s">
        <v>39</v>
      </c>
      <c r="F79" t="s">
        <v>82</v>
      </c>
      <c r="G79">
        <v>320</v>
      </c>
      <c r="H79" t="s">
        <v>25</v>
      </c>
      <c r="I79" t="s">
        <v>24</v>
      </c>
      <c r="J79" s="2">
        <v>11155</v>
      </c>
      <c r="K79">
        <v>98</v>
      </c>
      <c r="L79">
        <v>4</v>
      </c>
      <c r="M79" t="s">
        <v>24</v>
      </c>
      <c r="N79" s="3">
        <v>0.39</v>
      </c>
      <c r="O79">
        <v>9</v>
      </c>
      <c r="P79" t="s">
        <v>24</v>
      </c>
      <c r="Q79">
        <f>VLOOKUP(D79,Segment_Lookup!$A$2:$D$9,4,FALSE)</f>
        <v>14</v>
      </c>
      <c r="R79" s="4">
        <f t="shared" si="6"/>
        <v>39</v>
      </c>
      <c r="S79" t="str">
        <f t="shared" si="7"/>
        <v>Low</v>
      </c>
      <c r="T79" t="str">
        <f t="shared" si="8"/>
        <v>Digital nurture</v>
      </c>
    </row>
    <row r="80" spans="1:20">
      <c r="A80">
        <v>200079</v>
      </c>
      <c r="B80" t="s">
        <v>117</v>
      </c>
      <c r="C80" t="s">
        <v>20</v>
      </c>
      <c r="D80" t="s">
        <v>35</v>
      </c>
      <c r="E80" t="s">
        <v>22</v>
      </c>
      <c r="F80" t="s">
        <v>36</v>
      </c>
      <c r="G80">
        <v>212</v>
      </c>
      <c r="H80" t="s">
        <v>25</v>
      </c>
      <c r="I80" t="s">
        <v>24</v>
      </c>
      <c r="J80" s="2">
        <v>14131</v>
      </c>
      <c r="K80">
        <v>187</v>
      </c>
      <c r="L80">
        <v>0</v>
      </c>
      <c r="M80" t="s">
        <v>24</v>
      </c>
      <c r="N80" s="3">
        <v>0.56999999999999995</v>
      </c>
      <c r="O80">
        <v>5</v>
      </c>
      <c r="P80" t="s">
        <v>24</v>
      </c>
      <c r="Q80">
        <f>VLOOKUP(D80,Segment_Lookup!$A$2:$D$9,4,FALSE)</f>
        <v>5</v>
      </c>
      <c r="R80" s="4">
        <f t="shared" si="6"/>
        <v>70</v>
      </c>
      <c r="S80" t="str">
        <f t="shared" si="7"/>
        <v>High</v>
      </c>
      <c r="T80" t="str">
        <f t="shared" si="8"/>
        <v>Outbound call</v>
      </c>
    </row>
    <row r="81" spans="1:20">
      <c r="A81">
        <v>200080</v>
      </c>
      <c r="B81" t="s">
        <v>118</v>
      </c>
      <c r="C81" t="s">
        <v>20</v>
      </c>
      <c r="D81" t="s">
        <v>44</v>
      </c>
      <c r="E81" t="s">
        <v>45</v>
      </c>
      <c r="F81" t="s">
        <v>50</v>
      </c>
      <c r="G81">
        <v>222</v>
      </c>
      <c r="H81" t="s">
        <v>25</v>
      </c>
      <c r="I81" t="s">
        <v>24</v>
      </c>
      <c r="J81" s="2">
        <v>27100</v>
      </c>
      <c r="K81">
        <v>34</v>
      </c>
      <c r="L81">
        <v>1</v>
      </c>
      <c r="M81" t="s">
        <v>24</v>
      </c>
      <c r="N81" s="3">
        <v>0.48</v>
      </c>
      <c r="O81">
        <v>5</v>
      </c>
      <c r="P81" t="s">
        <v>24</v>
      </c>
      <c r="Q81">
        <f>VLOOKUP(D81,Segment_Lookup!$A$2:$D$9,4,FALSE)</f>
        <v>12</v>
      </c>
      <c r="R81" s="4">
        <f t="shared" si="6"/>
        <v>70</v>
      </c>
      <c r="S81" t="str">
        <f t="shared" si="7"/>
        <v>High</v>
      </c>
      <c r="T81" t="str">
        <f t="shared" si="8"/>
        <v>Outbound call</v>
      </c>
    </row>
    <row r="82" spans="1:20">
      <c r="A82">
        <v>200081</v>
      </c>
      <c r="B82" t="s">
        <v>119</v>
      </c>
      <c r="C82" t="s">
        <v>20</v>
      </c>
      <c r="D82" t="s">
        <v>27</v>
      </c>
      <c r="E82" t="s">
        <v>28</v>
      </c>
      <c r="F82" t="s">
        <v>29</v>
      </c>
      <c r="G82">
        <v>160</v>
      </c>
      <c r="H82" t="s">
        <v>25</v>
      </c>
      <c r="I82" t="s">
        <v>24</v>
      </c>
      <c r="J82" s="2">
        <v>7471</v>
      </c>
      <c r="K82">
        <v>40</v>
      </c>
      <c r="L82">
        <v>1</v>
      </c>
      <c r="M82" t="s">
        <v>25</v>
      </c>
      <c r="N82" s="3">
        <v>0.09</v>
      </c>
      <c r="O82">
        <v>8</v>
      </c>
      <c r="P82" t="s">
        <v>24</v>
      </c>
      <c r="Q82">
        <f>VLOOKUP(D82,Segment_Lookup!$A$2:$D$9,4,FALSE)</f>
        <v>8</v>
      </c>
      <c r="R82" s="4">
        <f t="shared" si="6"/>
        <v>76</v>
      </c>
      <c r="S82" t="str">
        <f t="shared" si="7"/>
        <v>High</v>
      </c>
      <c r="T82" t="str">
        <f t="shared" si="8"/>
        <v>Outbound call</v>
      </c>
    </row>
    <row r="83" spans="1:20">
      <c r="A83">
        <v>200082</v>
      </c>
      <c r="B83" t="s">
        <v>120</v>
      </c>
      <c r="C83" t="s">
        <v>20</v>
      </c>
      <c r="D83" t="s">
        <v>35</v>
      </c>
      <c r="E83" t="s">
        <v>39</v>
      </c>
      <c r="F83" t="s">
        <v>29</v>
      </c>
      <c r="G83">
        <v>337</v>
      </c>
      <c r="H83" t="s">
        <v>24</v>
      </c>
      <c r="I83" t="s">
        <v>24</v>
      </c>
      <c r="J83" s="2">
        <v>6411</v>
      </c>
      <c r="K83">
        <v>70</v>
      </c>
      <c r="L83">
        <v>1</v>
      </c>
      <c r="M83" t="s">
        <v>24</v>
      </c>
      <c r="N83" s="3">
        <v>0.28999999999999998</v>
      </c>
      <c r="O83">
        <v>0</v>
      </c>
      <c r="P83" t="s">
        <v>25</v>
      </c>
      <c r="Q83">
        <f>VLOOKUP(D83,Segment_Lookup!$A$2:$D$9,4,FALSE)</f>
        <v>5</v>
      </c>
      <c r="R83" s="4">
        <f t="shared" si="6"/>
        <v>23</v>
      </c>
      <c r="S83" t="str">
        <f t="shared" si="7"/>
        <v>Low</v>
      </c>
      <c r="T83" t="str">
        <f t="shared" si="8"/>
        <v>Digital nurture</v>
      </c>
    </row>
    <row r="84" spans="1:20">
      <c r="A84">
        <v>200083</v>
      </c>
      <c r="B84" t="s">
        <v>116</v>
      </c>
      <c r="C84" t="s">
        <v>31</v>
      </c>
      <c r="D84" t="s">
        <v>27</v>
      </c>
      <c r="E84" t="s">
        <v>28</v>
      </c>
      <c r="F84" t="s">
        <v>33</v>
      </c>
      <c r="G84">
        <v>47</v>
      </c>
      <c r="H84" t="s">
        <v>24</v>
      </c>
      <c r="I84" t="s">
        <v>24</v>
      </c>
      <c r="J84" s="2">
        <v>14257</v>
      </c>
      <c r="K84">
        <v>117</v>
      </c>
      <c r="L84">
        <v>0</v>
      </c>
      <c r="M84" t="s">
        <v>24</v>
      </c>
      <c r="N84" s="3">
        <v>0.61</v>
      </c>
      <c r="O84">
        <v>12</v>
      </c>
      <c r="P84" t="s">
        <v>24</v>
      </c>
      <c r="Q84">
        <f>VLOOKUP(D84,Segment_Lookup!$A$2:$D$9,4,FALSE)</f>
        <v>8</v>
      </c>
      <c r="R84" s="4">
        <f t="shared" si="6"/>
        <v>78</v>
      </c>
      <c r="S84" t="str">
        <f t="shared" si="7"/>
        <v>High</v>
      </c>
      <c r="T84" t="str">
        <f t="shared" si="8"/>
        <v>Outbound call</v>
      </c>
    </row>
    <row r="85" spans="1:20">
      <c r="A85">
        <v>200084</v>
      </c>
      <c r="B85" t="s">
        <v>121</v>
      </c>
      <c r="C85" t="s">
        <v>20</v>
      </c>
      <c r="D85" t="s">
        <v>38</v>
      </c>
      <c r="E85" t="s">
        <v>22</v>
      </c>
      <c r="F85" t="s">
        <v>50</v>
      </c>
      <c r="G85">
        <v>140</v>
      </c>
      <c r="H85" t="s">
        <v>25</v>
      </c>
      <c r="I85" t="s">
        <v>24</v>
      </c>
      <c r="J85" s="2">
        <v>20392</v>
      </c>
      <c r="K85">
        <v>114</v>
      </c>
      <c r="L85">
        <v>0</v>
      </c>
      <c r="M85" t="s">
        <v>25</v>
      </c>
      <c r="N85" s="3">
        <v>0.44</v>
      </c>
      <c r="O85">
        <v>5</v>
      </c>
      <c r="P85" t="s">
        <v>24</v>
      </c>
      <c r="Q85">
        <f>VLOOKUP(D85,Segment_Lookup!$A$2:$D$9,4,FALSE)</f>
        <v>14</v>
      </c>
      <c r="R85" s="4">
        <f t="shared" si="6"/>
        <v>99</v>
      </c>
      <c r="S85" t="str">
        <f t="shared" si="7"/>
        <v>Very High</v>
      </c>
      <c r="T85" t="str">
        <f t="shared" si="8"/>
        <v>Priority outbound call</v>
      </c>
    </row>
    <row r="86" spans="1:20">
      <c r="A86">
        <v>200085</v>
      </c>
      <c r="B86" t="s">
        <v>115</v>
      </c>
      <c r="C86" t="s">
        <v>56</v>
      </c>
      <c r="D86" t="s">
        <v>67</v>
      </c>
      <c r="E86" t="s">
        <v>28</v>
      </c>
      <c r="F86" t="s">
        <v>33</v>
      </c>
      <c r="G86">
        <v>113</v>
      </c>
      <c r="H86" t="s">
        <v>25</v>
      </c>
      <c r="I86" t="s">
        <v>24</v>
      </c>
      <c r="J86" s="2">
        <v>751</v>
      </c>
      <c r="K86">
        <v>53</v>
      </c>
      <c r="L86">
        <v>0</v>
      </c>
      <c r="M86" t="s">
        <v>25</v>
      </c>
      <c r="N86" s="3">
        <v>0.12</v>
      </c>
      <c r="O86">
        <v>4</v>
      </c>
      <c r="P86" t="s">
        <v>24</v>
      </c>
      <c r="Q86">
        <f>VLOOKUP(D86,Segment_Lookup!$A$2:$D$9,4,FALSE)</f>
        <v>7</v>
      </c>
      <c r="R86" s="4">
        <f t="shared" si="6"/>
        <v>75</v>
      </c>
      <c r="S86" t="str">
        <f t="shared" si="7"/>
        <v>High</v>
      </c>
      <c r="T86" t="str">
        <f t="shared" si="8"/>
        <v>Outbound call</v>
      </c>
    </row>
    <row r="87" spans="1:20">
      <c r="A87">
        <v>200086</v>
      </c>
      <c r="B87" t="s">
        <v>122</v>
      </c>
      <c r="C87" t="s">
        <v>31</v>
      </c>
      <c r="D87" t="s">
        <v>27</v>
      </c>
      <c r="E87" t="s">
        <v>45</v>
      </c>
      <c r="F87" t="s">
        <v>72</v>
      </c>
      <c r="G87">
        <v>273</v>
      </c>
      <c r="H87" t="s">
        <v>24</v>
      </c>
      <c r="I87" t="s">
        <v>24</v>
      </c>
      <c r="J87" s="2">
        <v>27807</v>
      </c>
      <c r="K87">
        <v>172</v>
      </c>
      <c r="L87">
        <v>2</v>
      </c>
      <c r="M87" t="s">
        <v>25</v>
      </c>
      <c r="N87" s="3">
        <v>0.73</v>
      </c>
      <c r="O87">
        <v>0</v>
      </c>
      <c r="P87" t="s">
        <v>24</v>
      </c>
      <c r="Q87">
        <f>VLOOKUP(D87,Segment_Lookup!$A$2:$D$9,4,FALSE)</f>
        <v>8</v>
      </c>
      <c r="R87" s="4">
        <f t="shared" si="6"/>
        <v>38</v>
      </c>
      <c r="S87" t="str">
        <f t="shared" si="7"/>
        <v>Low</v>
      </c>
      <c r="T87" t="str">
        <f t="shared" si="8"/>
        <v>Digital nurture</v>
      </c>
    </row>
    <row r="88" spans="1:20">
      <c r="A88">
        <v>200087</v>
      </c>
      <c r="B88" t="s">
        <v>42</v>
      </c>
      <c r="C88" t="s">
        <v>20</v>
      </c>
      <c r="D88" t="s">
        <v>32</v>
      </c>
      <c r="E88" t="s">
        <v>22</v>
      </c>
      <c r="F88" t="s">
        <v>29</v>
      </c>
      <c r="G88">
        <v>208</v>
      </c>
      <c r="H88" t="s">
        <v>24</v>
      </c>
      <c r="I88" t="s">
        <v>24</v>
      </c>
      <c r="J88" s="2">
        <v>4274</v>
      </c>
      <c r="K88">
        <v>104</v>
      </c>
      <c r="L88">
        <v>0</v>
      </c>
      <c r="M88" t="s">
        <v>24</v>
      </c>
      <c r="N88" s="3">
        <v>0.68</v>
      </c>
      <c r="O88">
        <v>9</v>
      </c>
      <c r="P88" t="s">
        <v>24</v>
      </c>
      <c r="Q88">
        <f>VLOOKUP(D88,Segment_Lookup!$A$2:$D$9,4,FALSE)</f>
        <v>13</v>
      </c>
      <c r="R88" s="4">
        <f t="shared" si="6"/>
        <v>43</v>
      </c>
      <c r="S88" t="str">
        <f t="shared" si="7"/>
        <v>Medium</v>
      </c>
      <c r="T88" t="str">
        <f t="shared" si="8"/>
        <v>Email then call</v>
      </c>
    </row>
    <row r="89" spans="1:20">
      <c r="A89">
        <v>200088</v>
      </c>
      <c r="B89" t="s">
        <v>123</v>
      </c>
      <c r="C89" t="s">
        <v>20</v>
      </c>
      <c r="D89" t="s">
        <v>44</v>
      </c>
      <c r="E89" t="s">
        <v>61</v>
      </c>
      <c r="F89" t="s">
        <v>36</v>
      </c>
      <c r="G89">
        <v>224</v>
      </c>
      <c r="H89" t="s">
        <v>25</v>
      </c>
      <c r="I89" t="s">
        <v>24</v>
      </c>
      <c r="J89" s="2">
        <v>13468</v>
      </c>
      <c r="K89">
        <v>223</v>
      </c>
      <c r="L89">
        <v>0</v>
      </c>
      <c r="M89" t="s">
        <v>24</v>
      </c>
      <c r="N89" s="3">
        <v>0.28000000000000003</v>
      </c>
      <c r="O89">
        <v>2</v>
      </c>
      <c r="P89" t="s">
        <v>25</v>
      </c>
      <c r="Q89">
        <f>VLOOKUP(D89,Segment_Lookup!$A$2:$D$9,4,FALSE)</f>
        <v>12</v>
      </c>
      <c r="R89" s="4">
        <f t="shared" si="6"/>
        <v>57</v>
      </c>
      <c r="S89" t="str">
        <f t="shared" si="7"/>
        <v>Medium</v>
      </c>
      <c r="T89" t="str">
        <f t="shared" si="8"/>
        <v>Digital nurture</v>
      </c>
    </row>
    <row r="90" spans="1:20">
      <c r="A90">
        <v>200089</v>
      </c>
      <c r="B90" t="s">
        <v>124</v>
      </c>
      <c r="C90" t="s">
        <v>20</v>
      </c>
      <c r="D90" t="s">
        <v>35</v>
      </c>
      <c r="E90" t="s">
        <v>39</v>
      </c>
      <c r="F90" t="s">
        <v>23</v>
      </c>
      <c r="G90">
        <v>121</v>
      </c>
      <c r="H90" t="s">
        <v>25</v>
      </c>
      <c r="I90" t="s">
        <v>24</v>
      </c>
      <c r="J90" s="2">
        <v>6185</v>
      </c>
      <c r="K90">
        <v>155</v>
      </c>
      <c r="L90">
        <v>0</v>
      </c>
      <c r="M90" t="s">
        <v>24</v>
      </c>
      <c r="N90" s="3">
        <v>0.06</v>
      </c>
      <c r="O90">
        <v>12</v>
      </c>
      <c r="P90" t="s">
        <v>24</v>
      </c>
      <c r="Q90">
        <f>VLOOKUP(D90,Segment_Lookup!$A$2:$D$9,4,FALSE)</f>
        <v>5</v>
      </c>
      <c r="R90" s="4">
        <f t="shared" si="6"/>
        <v>60</v>
      </c>
      <c r="S90" t="str">
        <f t="shared" si="7"/>
        <v>Medium</v>
      </c>
      <c r="T90" t="str">
        <f t="shared" si="8"/>
        <v>Digital nurture</v>
      </c>
    </row>
    <row r="91" spans="1:20">
      <c r="A91">
        <v>200090</v>
      </c>
      <c r="B91" t="s">
        <v>125</v>
      </c>
      <c r="C91" t="s">
        <v>20</v>
      </c>
      <c r="D91" t="s">
        <v>67</v>
      </c>
      <c r="E91" t="s">
        <v>39</v>
      </c>
      <c r="F91" t="s">
        <v>52</v>
      </c>
      <c r="G91">
        <v>78</v>
      </c>
      <c r="H91" t="s">
        <v>25</v>
      </c>
      <c r="I91" t="s">
        <v>24</v>
      </c>
      <c r="J91" s="2">
        <v>21189</v>
      </c>
      <c r="K91">
        <v>78</v>
      </c>
      <c r="L91">
        <v>1</v>
      </c>
      <c r="M91" t="s">
        <v>24</v>
      </c>
      <c r="N91" s="3">
        <v>0.3</v>
      </c>
      <c r="O91">
        <v>1</v>
      </c>
      <c r="P91" t="s">
        <v>24</v>
      </c>
      <c r="Q91">
        <f>VLOOKUP(D91,Segment_Lookup!$A$2:$D$9,4,FALSE)</f>
        <v>7</v>
      </c>
      <c r="R91" s="4">
        <f t="shared" si="6"/>
        <v>75</v>
      </c>
      <c r="S91" t="str">
        <f t="shared" si="7"/>
        <v>High</v>
      </c>
      <c r="T91" t="str">
        <f t="shared" si="8"/>
        <v>Outbound call</v>
      </c>
    </row>
    <row r="92" spans="1:20">
      <c r="A92">
        <v>200091</v>
      </c>
      <c r="B92" t="s">
        <v>34</v>
      </c>
      <c r="C92" t="s">
        <v>20</v>
      </c>
      <c r="D92" t="s">
        <v>32</v>
      </c>
      <c r="E92" t="s">
        <v>22</v>
      </c>
      <c r="F92" t="s">
        <v>50</v>
      </c>
      <c r="G92">
        <v>315</v>
      </c>
      <c r="H92" t="s">
        <v>25</v>
      </c>
      <c r="I92" t="s">
        <v>24</v>
      </c>
      <c r="J92" s="2">
        <v>19516</v>
      </c>
      <c r="K92">
        <v>142</v>
      </c>
      <c r="L92">
        <v>3</v>
      </c>
      <c r="M92" t="s">
        <v>24</v>
      </c>
      <c r="N92" s="3">
        <v>0.03</v>
      </c>
      <c r="O92">
        <v>12</v>
      </c>
      <c r="P92" t="s">
        <v>24</v>
      </c>
      <c r="Q92">
        <f>VLOOKUP(D92,Segment_Lookup!$A$2:$D$9,4,FALSE)</f>
        <v>13</v>
      </c>
      <c r="R92" s="4">
        <f t="shared" si="6"/>
        <v>43</v>
      </c>
      <c r="S92" t="str">
        <f t="shared" si="7"/>
        <v>Medium</v>
      </c>
      <c r="T92" t="str">
        <f t="shared" si="8"/>
        <v>Digital nurture</v>
      </c>
    </row>
    <row r="93" spans="1:20">
      <c r="A93">
        <v>200092</v>
      </c>
      <c r="B93" t="s">
        <v>126</v>
      </c>
      <c r="C93" t="s">
        <v>31</v>
      </c>
      <c r="D93" t="s">
        <v>67</v>
      </c>
      <c r="E93" t="s">
        <v>39</v>
      </c>
      <c r="F93" t="s">
        <v>33</v>
      </c>
      <c r="G93">
        <v>231</v>
      </c>
      <c r="H93" t="s">
        <v>25</v>
      </c>
      <c r="I93" t="s">
        <v>24</v>
      </c>
      <c r="J93" s="2">
        <v>11753</v>
      </c>
      <c r="K93">
        <v>183</v>
      </c>
      <c r="L93">
        <v>0</v>
      </c>
      <c r="M93" t="s">
        <v>24</v>
      </c>
      <c r="N93" s="3">
        <v>0.03</v>
      </c>
      <c r="O93">
        <v>11</v>
      </c>
      <c r="P93" t="s">
        <v>24</v>
      </c>
      <c r="Q93">
        <f>VLOOKUP(D93,Segment_Lookup!$A$2:$D$9,4,FALSE)</f>
        <v>7</v>
      </c>
      <c r="R93" s="4">
        <f t="shared" si="6"/>
        <v>62</v>
      </c>
      <c r="S93" t="str">
        <f t="shared" si="7"/>
        <v>Medium</v>
      </c>
      <c r="T93" t="str">
        <f t="shared" si="8"/>
        <v>Digital nurture</v>
      </c>
    </row>
    <row r="94" spans="1:20">
      <c r="A94">
        <v>200093</v>
      </c>
      <c r="B94" t="s">
        <v>124</v>
      </c>
      <c r="C94" t="s">
        <v>20</v>
      </c>
      <c r="D94" t="s">
        <v>38</v>
      </c>
      <c r="E94" t="s">
        <v>39</v>
      </c>
      <c r="F94" t="s">
        <v>82</v>
      </c>
      <c r="G94">
        <v>199</v>
      </c>
      <c r="H94" t="s">
        <v>25</v>
      </c>
      <c r="I94" t="s">
        <v>24</v>
      </c>
      <c r="J94" s="2">
        <v>20091</v>
      </c>
      <c r="K94">
        <v>14</v>
      </c>
      <c r="L94">
        <v>1</v>
      </c>
      <c r="M94" t="s">
        <v>24</v>
      </c>
      <c r="N94" s="3">
        <v>0.06</v>
      </c>
      <c r="O94">
        <v>1</v>
      </c>
      <c r="P94" t="s">
        <v>24</v>
      </c>
      <c r="Q94">
        <f>VLOOKUP(D94,Segment_Lookup!$A$2:$D$9,4,FALSE)</f>
        <v>14</v>
      </c>
      <c r="R94" s="4">
        <f t="shared" si="6"/>
        <v>69</v>
      </c>
      <c r="S94" t="str">
        <f t="shared" si="7"/>
        <v>High</v>
      </c>
      <c r="T94" t="str">
        <f t="shared" si="8"/>
        <v>Outbound call</v>
      </c>
    </row>
    <row r="95" spans="1:20">
      <c r="A95">
        <v>200094</v>
      </c>
      <c r="B95" t="s">
        <v>127</v>
      </c>
      <c r="C95" t="s">
        <v>56</v>
      </c>
      <c r="D95" t="s">
        <v>38</v>
      </c>
      <c r="E95" t="s">
        <v>61</v>
      </c>
      <c r="F95" t="s">
        <v>29</v>
      </c>
      <c r="G95">
        <v>340</v>
      </c>
      <c r="H95" t="s">
        <v>25</v>
      </c>
      <c r="I95" t="s">
        <v>24</v>
      </c>
      <c r="J95" s="2">
        <v>21997</v>
      </c>
      <c r="K95">
        <v>179</v>
      </c>
      <c r="L95">
        <v>1</v>
      </c>
      <c r="M95" t="s">
        <v>25</v>
      </c>
      <c r="N95" s="3">
        <v>0.6</v>
      </c>
      <c r="O95">
        <v>1</v>
      </c>
      <c r="P95" t="s">
        <v>24</v>
      </c>
      <c r="Q95">
        <f>VLOOKUP(D95,Segment_Lookup!$A$2:$D$9,4,FALSE)</f>
        <v>14</v>
      </c>
      <c r="R95" s="4">
        <f t="shared" si="6"/>
        <v>79</v>
      </c>
      <c r="S95" t="str">
        <f t="shared" si="7"/>
        <v>High</v>
      </c>
      <c r="T95" t="str">
        <f t="shared" si="8"/>
        <v>Outbound call</v>
      </c>
    </row>
    <row r="96" spans="1:20">
      <c r="A96">
        <v>200095</v>
      </c>
      <c r="B96" t="s">
        <v>62</v>
      </c>
      <c r="C96" t="s">
        <v>56</v>
      </c>
      <c r="D96" t="s">
        <v>38</v>
      </c>
      <c r="E96" t="s">
        <v>61</v>
      </c>
      <c r="F96" t="s">
        <v>72</v>
      </c>
      <c r="G96">
        <v>261</v>
      </c>
      <c r="H96" t="s">
        <v>25</v>
      </c>
      <c r="I96" t="s">
        <v>24</v>
      </c>
      <c r="J96" s="2">
        <v>6406</v>
      </c>
      <c r="K96">
        <v>55</v>
      </c>
      <c r="L96">
        <v>0</v>
      </c>
      <c r="M96" t="s">
        <v>24</v>
      </c>
      <c r="N96" s="3">
        <v>0.16</v>
      </c>
      <c r="O96">
        <v>2</v>
      </c>
      <c r="P96" t="s">
        <v>25</v>
      </c>
      <c r="Q96">
        <f>VLOOKUP(D96,Segment_Lookup!$A$2:$D$9,4,FALSE)</f>
        <v>14</v>
      </c>
      <c r="R96" s="4">
        <f t="shared" si="6"/>
        <v>57</v>
      </c>
      <c r="S96" t="str">
        <f t="shared" si="7"/>
        <v>Medium</v>
      </c>
      <c r="T96" t="str">
        <f t="shared" si="8"/>
        <v>Digital nurture</v>
      </c>
    </row>
    <row r="97" spans="1:20">
      <c r="A97">
        <v>200096</v>
      </c>
      <c r="B97" t="s">
        <v>128</v>
      </c>
      <c r="C97" t="s">
        <v>56</v>
      </c>
      <c r="D97" t="s">
        <v>54</v>
      </c>
      <c r="E97" t="s">
        <v>22</v>
      </c>
      <c r="F97" t="s">
        <v>29</v>
      </c>
      <c r="G97">
        <v>193</v>
      </c>
      <c r="H97" t="s">
        <v>25</v>
      </c>
      <c r="I97" t="s">
        <v>24</v>
      </c>
      <c r="J97" s="2">
        <v>23203</v>
      </c>
      <c r="K97">
        <v>198</v>
      </c>
      <c r="L97">
        <v>1</v>
      </c>
      <c r="M97" t="s">
        <v>24</v>
      </c>
      <c r="N97" s="3">
        <v>0.61</v>
      </c>
      <c r="O97">
        <v>0</v>
      </c>
      <c r="P97" t="s">
        <v>24</v>
      </c>
      <c r="Q97">
        <f>VLOOKUP(D97,Segment_Lookup!$A$2:$D$9,4,FALSE)</f>
        <v>15</v>
      </c>
      <c r="R97" s="4">
        <f t="shared" si="6"/>
        <v>65</v>
      </c>
      <c r="S97" t="str">
        <f t="shared" si="7"/>
        <v>High</v>
      </c>
      <c r="T97" t="str">
        <f t="shared" si="8"/>
        <v>Outbound call</v>
      </c>
    </row>
    <row r="98" spans="1:20">
      <c r="A98">
        <v>200097</v>
      </c>
      <c r="B98" t="s">
        <v>129</v>
      </c>
      <c r="C98" t="s">
        <v>20</v>
      </c>
      <c r="D98" t="s">
        <v>67</v>
      </c>
      <c r="E98" t="s">
        <v>78</v>
      </c>
      <c r="F98" t="s">
        <v>47</v>
      </c>
      <c r="G98">
        <v>120</v>
      </c>
      <c r="H98" t="s">
        <v>25</v>
      </c>
      <c r="I98" t="s">
        <v>24</v>
      </c>
      <c r="J98" s="2">
        <v>26996</v>
      </c>
      <c r="K98">
        <v>201</v>
      </c>
      <c r="L98">
        <v>0</v>
      </c>
      <c r="M98" t="s">
        <v>24</v>
      </c>
      <c r="N98" s="3">
        <v>0.31</v>
      </c>
      <c r="O98">
        <v>9</v>
      </c>
      <c r="P98" t="s">
        <v>24</v>
      </c>
      <c r="Q98">
        <f>VLOOKUP(D98,Segment_Lookup!$A$2:$D$9,4,FALSE)</f>
        <v>7</v>
      </c>
      <c r="R98" s="4">
        <f t="shared" ref="R98:R129" si="9">IF(G98&lt;=30,30,IF(G98&lt;=90,20,IF(G98&lt;=180,10,0)))+IF(H98="Yes",15,0)+IF(I98="Yes",-15,0)+IF(J98&gt;=15000,25,IF(J98&gt;=10000,20,IF(J98&gt;=5000,10,0)))+IF(K98&lt;=30,15,IF(K98&lt;=90,8,0))+IF(L98=0,10,IF(L98&gt;=2,-20,0))+IF(M98="Yes",15,0)+IF(N98&gt;=0.5,10,0)+IF(O98&gt;=3,10,0)+Q98</f>
        <v>77</v>
      </c>
      <c r="S98" t="str">
        <f t="shared" ref="S98:S129" si="10">IF(R98&gt;=85,"Very High",IF(R98&gt;=65,"High",IF(R98&gt;=40,"Medium","Low")))</f>
        <v>High</v>
      </c>
      <c r="T98" t="str">
        <f t="shared" ref="T98:T129" si="11">IF(S98="Very High","Priority outbound call",IF(S98="High","Outbound call",IF(AND(S98="Medium",N98&gt;=0.4),"Email then call","Digital nurture")))</f>
        <v>Outbound call</v>
      </c>
    </row>
    <row r="99" spans="1:20">
      <c r="A99">
        <v>200098</v>
      </c>
      <c r="B99" t="s">
        <v>130</v>
      </c>
      <c r="C99" t="s">
        <v>20</v>
      </c>
      <c r="D99" t="s">
        <v>27</v>
      </c>
      <c r="E99" t="s">
        <v>61</v>
      </c>
      <c r="F99" t="s">
        <v>23</v>
      </c>
      <c r="G99">
        <v>103</v>
      </c>
      <c r="H99" t="s">
        <v>24</v>
      </c>
      <c r="I99" t="s">
        <v>25</v>
      </c>
      <c r="J99" s="2">
        <v>8692</v>
      </c>
      <c r="K99">
        <v>14</v>
      </c>
      <c r="L99">
        <v>1</v>
      </c>
      <c r="M99" t="s">
        <v>24</v>
      </c>
      <c r="N99" s="3">
        <v>0.47</v>
      </c>
      <c r="O99">
        <v>1</v>
      </c>
      <c r="P99" t="s">
        <v>24</v>
      </c>
      <c r="Q99">
        <f>VLOOKUP(D99,Segment_Lookup!$A$2:$D$9,4,FALSE)</f>
        <v>8</v>
      </c>
      <c r="R99" s="4">
        <f t="shared" si="9"/>
        <v>28</v>
      </c>
      <c r="S99" t="str">
        <f t="shared" si="10"/>
        <v>Low</v>
      </c>
      <c r="T99" t="str">
        <f t="shared" si="11"/>
        <v>Digital nurture</v>
      </c>
    </row>
    <row r="100" spans="1:20">
      <c r="A100">
        <v>200099</v>
      </c>
      <c r="B100" t="s">
        <v>131</v>
      </c>
      <c r="C100" t="s">
        <v>20</v>
      </c>
      <c r="D100" t="s">
        <v>21</v>
      </c>
      <c r="E100" t="s">
        <v>22</v>
      </c>
      <c r="F100" t="s">
        <v>82</v>
      </c>
      <c r="G100">
        <v>231</v>
      </c>
      <c r="H100" t="s">
        <v>24</v>
      </c>
      <c r="I100" t="s">
        <v>25</v>
      </c>
      <c r="J100" s="2">
        <v>14835</v>
      </c>
      <c r="K100">
        <v>24</v>
      </c>
      <c r="L100">
        <v>3</v>
      </c>
      <c r="M100" t="s">
        <v>25</v>
      </c>
      <c r="N100" s="3">
        <v>0.38</v>
      </c>
      <c r="O100">
        <v>5</v>
      </c>
      <c r="P100" t="s">
        <v>24</v>
      </c>
      <c r="Q100">
        <f>VLOOKUP(D100,Segment_Lookup!$A$2:$D$9,4,FALSE)</f>
        <v>10</v>
      </c>
      <c r="R100" s="4">
        <f t="shared" si="9"/>
        <v>35</v>
      </c>
      <c r="S100" t="str">
        <f t="shared" si="10"/>
        <v>Low</v>
      </c>
      <c r="T100" t="str">
        <f t="shared" si="11"/>
        <v>Digital nurture</v>
      </c>
    </row>
    <row r="101" spans="1:20">
      <c r="A101">
        <v>200100</v>
      </c>
      <c r="B101" t="s">
        <v>132</v>
      </c>
      <c r="C101" t="s">
        <v>20</v>
      </c>
      <c r="D101" t="s">
        <v>32</v>
      </c>
      <c r="E101" t="s">
        <v>45</v>
      </c>
      <c r="F101" t="s">
        <v>50</v>
      </c>
      <c r="G101">
        <v>192</v>
      </c>
      <c r="H101" t="s">
        <v>25</v>
      </c>
      <c r="I101" t="s">
        <v>24</v>
      </c>
      <c r="J101" s="2">
        <v>3746</v>
      </c>
      <c r="K101">
        <v>215</v>
      </c>
      <c r="L101">
        <v>1</v>
      </c>
      <c r="M101" t="s">
        <v>24</v>
      </c>
      <c r="N101" s="3">
        <v>0.12</v>
      </c>
      <c r="O101">
        <v>0</v>
      </c>
      <c r="P101" t="s">
        <v>24</v>
      </c>
      <c r="Q101">
        <f>VLOOKUP(D101,Segment_Lookup!$A$2:$D$9,4,FALSE)</f>
        <v>13</v>
      </c>
      <c r="R101" s="4">
        <f t="shared" si="9"/>
        <v>28</v>
      </c>
      <c r="S101" t="str">
        <f t="shared" si="10"/>
        <v>Low</v>
      </c>
      <c r="T101" t="str">
        <f t="shared" si="11"/>
        <v>Digital nurture</v>
      </c>
    </row>
  </sheetData>
  <conditionalFormatting sqref="R2:R101">
    <cfRule type="dataBar" priority="1">
      <dataBar>
        <cfvo type="min"/>
        <cfvo type="max"/>
        <color rgb="FF4F81BD"/>
      </dataBar>
    </cfRule>
    <cfRule type="dataBar" priority="5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{9C5FB334-A4AA-0524-4A82-EA58125F471D}</x14:id>
        </ext>
      </extLst>
    </cfRule>
  </conditionalFormatting>
  <conditionalFormatting sqref="S2:S101">
    <cfRule type="expression" dxfId="2" priority="2">
      <formula>S2="Very High"</formula>
    </cfRule>
    <cfRule type="expression" dxfId="1" priority="3">
      <formula>S2="High"</formula>
    </cfRule>
    <cfRule type="expression" dxfId="0" priority="4">
      <formula>S2="Low"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5FB334-A4AA-0524-4A82-EA58125F471D}">
            <x14:dataBar>
              <x14:cfvo type="min"/>
              <x14:cfvo type="max"/>
              <x14:negativeFillColor auto="1"/>
              <x14:axisColor auto="1"/>
            </x14:dataBar>
          </x14:cfRule>
          <xm:sqref>R2:R101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25"/>
  <cols>
    <col min="1" max="1" width="20.5" customWidth="1"/>
    <col min="2" max="2" width="13.875" customWidth="1"/>
    <col min="3" max="3" width="44.5" customWidth="1"/>
    <col min="4" max="4" width="14" customWidth="1"/>
  </cols>
  <sheetData>
    <row r="1" spans="1:4" ht="30">
      <c r="A1" s="1" t="s">
        <v>133</v>
      </c>
      <c r="B1" s="1" t="s">
        <v>134</v>
      </c>
      <c r="C1" s="1" t="s">
        <v>135</v>
      </c>
      <c r="D1" s="1" t="s">
        <v>136</v>
      </c>
    </row>
    <row r="2" spans="1:4">
      <c r="A2" t="s">
        <v>54</v>
      </c>
      <c r="B2" t="s">
        <v>137</v>
      </c>
      <c r="C2" t="s">
        <v>138</v>
      </c>
      <c r="D2">
        <v>15</v>
      </c>
    </row>
    <row r="3" spans="1:4">
      <c r="A3" t="s">
        <v>44</v>
      </c>
      <c r="B3" t="s">
        <v>139</v>
      </c>
      <c r="C3" t="s">
        <v>140</v>
      </c>
      <c r="D3">
        <v>12</v>
      </c>
    </row>
    <row r="4" spans="1:4">
      <c r="A4" t="s">
        <v>38</v>
      </c>
      <c r="B4" t="s">
        <v>141</v>
      </c>
      <c r="C4" t="s">
        <v>142</v>
      </c>
      <c r="D4">
        <v>14</v>
      </c>
    </row>
    <row r="5" spans="1:4">
      <c r="A5" t="s">
        <v>35</v>
      </c>
      <c r="B5" t="s">
        <v>143</v>
      </c>
      <c r="C5" t="s">
        <v>144</v>
      </c>
      <c r="D5">
        <v>5</v>
      </c>
    </row>
    <row r="6" spans="1:4">
      <c r="A6" t="s">
        <v>21</v>
      </c>
      <c r="B6" t="s">
        <v>145</v>
      </c>
      <c r="C6" t="s">
        <v>146</v>
      </c>
      <c r="D6">
        <v>10</v>
      </c>
    </row>
    <row r="7" spans="1:4">
      <c r="A7" t="s">
        <v>32</v>
      </c>
      <c r="B7" t="s">
        <v>147</v>
      </c>
      <c r="C7" t="s">
        <v>148</v>
      </c>
      <c r="D7">
        <v>13</v>
      </c>
    </row>
    <row r="8" spans="1:4">
      <c r="A8" t="s">
        <v>27</v>
      </c>
      <c r="B8" t="s">
        <v>149</v>
      </c>
      <c r="C8" t="s">
        <v>150</v>
      </c>
      <c r="D8">
        <v>8</v>
      </c>
    </row>
    <row r="9" spans="1:4">
      <c r="A9" t="s">
        <v>67</v>
      </c>
      <c r="B9" t="s">
        <v>151</v>
      </c>
      <c r="C9" t="s">
        <v>152</v>
      </c>
      <c r="D9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25"/>
  <cols>
    <col min="1" max="1" width="16" customWidth="1"/>
    <col min="2" max="2" width="24.625" customWidth="1"/>
    <col min="3" max="3" width="10.5" customWidth="1"/>
  </cols>
  <sheetData>
    <row r="1" spans="1:3" ht="30">
      <c r="A1" s="1" t="s">
        <v>153</v>
      </c>
      <c r="B1" s="1" t="s">
        <v>154</v>
      </c>
      <c r="C1" s="1" t="s">
        <v>155</v>
      </c>
    </row>
    <row r="2" spans="1:3">
      <c r="A2" t="s">
        <v>156</v>
      </c>
      <c r="B2" t="s">
        <v>157</v>
      </c>
      <c r="C2" t="s">
        <v>158</v>
      </c>
    </row>
    <row r="3" spans="1:3">
      <c r="A3" t="s">
        <v>156</v>
      </c>
      <c r="B3" t="s">
        <v>159</v>
      </c>
      <c r="C3" t="s">
        <v>160</v>
      </c>
    </row>
    <row r="4" spans="1:3">
      <c r="A4" t="s">
        <v>156</v>
      </c>
      <c r="B4" t="s">
        <v>161</v>
      </c>
      <c r="C4" t="s">
        <v>162</v>
      </c>
    </row>
    <row r="5" spans="1:3">
      <c r="A5" t="s">
        <v>163</v>
      </c>
      <c r="B5" t="s">
        <v>164</v>
      </c>
      <c r="C5" t="s">
        <v>165</v>
      </c>
    </row>
    <row r="6" spans="1:3">
      <c r="A6" t="s">
        <v>166</v>
      </c>
      <c r="B6" t="s">
        <v>167</v>
      </c>
      <c r="C6" t="s">
        <v>168</v>
      </c>
    </row>
    <row r="7" spans="1:3">
      <c r="A7" t="s">
        <v>169</v>
      </c>
      <c r="B7" t="s">
        <v>170</v>
      </c>
      <c r="C7" t="s">
        <v>171</v>
      </c>
    </row>
    <row r="8" spans="1:3">
      <c r="A8" t="s">
        <v>169</v>
      </c>
      <c r="B8" t="s">
        <v>172</v>
      </c>
      <c r="C8" t="s">
        <v>160</v>
      </c>
    </row>
    <row r="9" spans="1:3">
      <c r="A9" t="s">
        <v>169</v>
      </c>
      <c r="B9" t="s">
        <v>173</v>
      </c>
      <c r="C9" t="s">
        <v>162</v>
      </c>
    </row>
    <row r="10" spans="1:3">
      <c r="A10" t="s">
        <v>174</v>
      </c>
      <c r="B10" t="s">
        <v>175</v>
      </c>
      <c r="C10" t="s">
        <v>165</v>
      </c>
    </row>
    <row r="11" spans="1:3">
      <c r="A11" t="s">
        <v>174</v>
      </c>
      <c r="B11" t="s">
        <v>176</v>
      </c>
      <c r="C11" t="s">
        <v>177</v>
      </c>
    </row>
    <row r="12" spans="1:3">
      <c r="A12" t="s">
        <v>178</v>
      </c>
      <c r="B12" t="s">
        <v>179</v>
      </c>
      <c r="C12" t="s">
        <v>162</v>
      </c>
    </row>
    <row r="13" spans="1:3">
      <c r="A13" t="s">
        <v>178</v>
      </c>
      <c r="B13" t="s">
        <v>180</v>
      </c>
      <c r="C13" t="s">
        <v>181</v>
      </c>
    </row>
    <row r="14" spans="1:3">
      <c r="A14" t="s">
        <v>182</v>
      </c>
      <c r="B14" t="s">
        <v>183</v>
      </c>
      <c r="C14" t="s">
        <v>165</v>
      </c>
    </row>
    <row r="15" spans="1:3">
      <c r="A15" t="s">
        <v>184</v>
      </c>
      <c r="B15" t="s">
        <v>185</v>
      </c>
      <c r="C15" t="s">
        <v>162</v>
      </c>
    </row>
    <row r="16" spans="1:3">
      <c r="A16" t="s">
        <v>184</v>
      </c>
      <c r="B16" t="s">
        <v>186</v>
      </c>
      <c r="C16" t="s">
        <v>162</v>
      </c>
    </row>
    <row r="17" spans="1:3">
      <c r="A17" t="s">
        <v>187</v>
      </c>
      <c r="B17" t="s">
        <v>188</v>
      </c>
      <c r="C17" t="s">
        <v>189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25"/>
  <cols>
    <col min="1" max="1" width="70.75" customWidth="1"/>
    <col min="2" max="2" width="122.75" customWidth="1"/>
  </cols>
  <sheetData>
    <row r="1" spans="1:2" ht="18">
      <c r="A1" s="5" t="s">
        <v>190</v>
      </c>
      <c r="B1" s="5"/>
    </row>
    <row r="3" spans="1:2">
      <c r="A3" t="s">
        <v>191</v>
      </c>
      <c r="B3" t="s">
        <v>192</v>
      </c>
    </row>
    <row r="4" spans="1:2">
      <c r="A4" t="s">
        <v>193</v>
      </c>
      <c r="B4" t="s">
        <v>194</v>
      </c>
    </row>
    <row r="5" spans="1:2">
      <c r="A5" t="s">
        <v>195</v>
      </c>
      <c r="B5" t="s">
        <v>196</v>
      </c>
    </row>
    <row r="6" spans="1:2">
      <c r="A6" t="s">
        <v>197</v>
      </c>
      <c r="B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Customer_Data</vt:lpstr>
      <vt:lpstr>Segment_Lookup</vt:lpstr>
      <vt:lpstr>Model_Rules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Satheesh Gurusamy</cp:lastModifiedBy>
  <dcterms:modified xsi:type="dcterms:W3CDTF">2026-05-19T18:35:51Z</dcterms:modified>
</cp:coreProperties>
</file>